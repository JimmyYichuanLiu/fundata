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W\Desktop\【工作】臻选\【更新产品】Excel VBA\【臻选】数据库\【适用于个人电脑】通用优化版\"/>
    </mc:Choice>
  </mc:AlternateContent>
  <xr:revisionPtr revIDLastSave="0" documentId="13_ncr:1_{DD49047D-CADC-49BA-B216-F223F9E9EF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Sheet1!$A$1:$V$277</definedName>
    <definedName name="_xlnm._FilterDatabase" localSheetId="1" hidden="1">Sheet2!$B$1:$D$11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52" i="1" l="1"/>
  <c r="U152" i="1"/>
  <c r="V152" i="1"/>
  <c r="T146" i="1"/>
  <c r="U146" i="1"/>
  <c r="V146" i="1"/>
  <c r="T155" i="1"/>
  <c r="U155" i="1"/>
  <c r="V155" i="1"/>
  <c r="T47" i="1"/>
  <c r="U47" i="1"/>
  <c r="V47" i="1"/>
  <c r="T19" i="1"/>
  <c r="U19" i="1"/>
  <c r="V19" i="1"/>
  <c r="T26" i="1"/>
  <c r="U26" i="1"/>
  <c r="V26" i="1"/>
  <c r="T27" i="1"/>
  <c r="U27" i="1"/>
  <c r="V27" i="1"/>
  <c r="T153" i="1"/>
  <c r="U153" i="1"/>
  <c r="V153" i="1"/>
  <c r="T68" i="1"/>
  <c r="U68" i="1"/>
  <c r="V68" i="1"/>
  <c r="T265" i="1"/>
  <c r="U265" i="1"/>
  <c r="V265" i="1"/>
  <c r="T217" i="1"/>
  <c r="U217" i="1"/>
  <c r="V217" i="1"/>
  <c r="T208" i="1"/>
  <c r="U208" i="1"/>
  <c r="V208" i="1"/>
  <c r="T219" i="1"/>
  <c r="U219" i="1"/>
  <c r="V219" i="1"/>
  <c r="T220" i="1"/>
  <c r="U220" i="1"/>
  <c r="V220" i="1"/>
  <c r="T63" i="1"/>
  <c r="U63" i="1"/>
  <c r="V63" i="1"/>
  <c r="T218" i="1"/>
  <c r="U218" i="1"/>
  <c r="V218" i="1"/>
  <c r="T264" i="1"/>
  <c r="U264" i="1"/>
  <c r="V264" i="1"/>
  <c r="T175" i="1"/>
  <c r="U175" i="1"/>
  <c r="V175" i="1"/>
  <c r="T142" i="1"/>
  <c r="U142" i="1"/>
  <c r="V142" i="1"/>
  <c r="T169" i="1"/>
  <c r="U169" i="1"/>
  <c r="V169" i="1"/>
  <c r="T167" i="1"/>
  <c r="U167" i="1"/>
  <c r="V167" i="1"/>
  <c r="T138" i="1"/>
  <c r="U138" i="1"/>
  <c r="V138" i="1"/>
  <c r="T216" i="1"/>
  <c r="U216" i="1"/>
  <c r="V216" i="1"/>
  <c r="T100" i="1"/>
  <c r="U100" i="1"/>
  <c r="V100" i="1"/>
  <c r="T191" i="1"/>
  <c r="U191" i="1"/>
  <c r="V191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20" i="1"/>
  <c r="V21" i="1"/>
  <c r="V22" i="1"/>
  <c r="V23" i="1"/>
  <c r="V24" i="1"/>
  <c r="V25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4" i="1"/>
  <c r="V65" i="1"/>
  <c r="V66" i="1"/>
  <c r="V67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9" i="1"/>
  <c r="V140" i="1"/>
  <c r="V141" i="1"/>
  <c r="V143" i="1"/>
  <c r="V144" i="1"/>
  <c r="V145" i="1"/>
  <c r="V147" i="1"/>
  <c r="V148" i="1"/>
  <c r="V149" i="1"/>
  <c r="V150" i="1"/>
  <c r="V151" i="1"/>
  <c r="V154" i="1"/>
  <c r="V156" i="1"/>
  <c r="V157" i="1"/>
  <c r="V158" i="1"/>
  <c r="V159" i="1"/>
  <c r="V160" i="1"/>
  <c r="V161" i="1"/>
  <c r="V162" i="1"/>
  <c r="V163" i="1"/>
  <c r="V164" i="1"/>
  <c r="V165" i="1"/>
  <c r="V166" i="1"/>
  <c r="V168" i="1"/>
  <c r="V170" i="1"/>
  <c r="V171" i="1"/>
  <c r="V172" i="1"/>
  <c r="V173" i="1"/>
  <c r="V174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9" i="1"/>
  <c r="V210" i="1"/>
  <c r="V211" i="1"/>
  <c r="V212" i="1"/>
  <c r="V213" i="1"/>
  <c r="V214" i="1"/>
  <c r="V215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" i="1"/>
  <c r="U4" i="1"/>
  <c r="U3" i="1"/>
  <c r="U21" i="1"/>
  <c r="U42" i="1"/>
  <c r="U22" i="1"/>
  <c r="U10" i="1"/>
  <c r="U43" i="1"/>
  <c r="U39" i="1"/>
  <c r="U44" i="1"/>
  <c r="U38" i="1"/>
  <c r="U33" i="1"/>
  <c r="U40" i="1"/>
  <c r="U23" i="1"/>
  <c r="U41" i="1"/>
  <c r="U13" i="1"/>
  <c r="U17" i="1"/>
  <c r="U24" i="1"/>
  <c r="U18" i="1"/>
  <c r="U30" i="1"/>
  <c r="U35" i="1"/>
  <c r="U36" i="1"/>
  <c r="U31" i="1"/>
  <c r="U32" i="1"/>
  <c r="U14" i="1"/>
  <c r="U15" i="1"/>
  <c r="U45" i="1"/>
  <c r="U20" i="1"/>
  <c r="U16" i="1"/>
  <c r="U11" i="1"/>
  <c r="U37" i="1"/>
  <c r="U34" i="1"/>
  <c r="U5" i="1"/>
  <c r="U25" i="1"/>
  <c r="U28" i="1"/>
  <c r="U29" i="1"/>
  <c r="U6" i="1"/>
  <c r="U7" i="1"/>
  <c r="U8" i="1"/>
  <c r="U12" i="1"/>
  <c r="U9" i="1"/>
  <c r="U46" i="1"/>
  <c r="U54" i="1"/>
  <c r="U52" i="1"/>
  <c r="U53" i="1"/>
  <c r="U50" i="1"/>
  <c r="U55" i="1"/>
  <c r="U51" i="1"/>
  <c r="U56" i="1"/>
  <c r="U49" i="1"/>
  <c r="U48" i="1"/>
  <c r="U57" i="1"/>
  <c r="U58" i="1"/>
  <c r="U59" i="1"/>
  <c r="U67" i="1"/>
  <c r="U61" i="1"/>
  <c r="U64" i="1"/>
  <c r="U62" i="1"/>
  <c r="U65" i="1"/>
  <c r="U66" i="1"/>
  <c r="U69" i="1"/>
  <c r="U70" i="1"/>
  <c r="U73" i="1"/>
  <c r="U74" i="1"/>
  <c r="U71" i="1"/>
  <c r="U75" i="1"/>
  <c r="U72" i="1"/>
  <c r="U60" i="1"/>
  <c r="U77" i="1"/>
  <c r="U76" i="1"/>
  <c r="U78" i="1"/>
  <c r="U80" i="1"/>
  <c r="U79" i="1"/>
  <c r="U81" i="1"/>
  <c r="U83" i="1"/>
  <c r="U85" i="1"/>
  <c r="U84" i="1"/>
  <c r="U88" i="1"/>
  <c r="U86" i="1"/>
  <c r="U87" i="1"/>
  <c r="U82" i="1"/>
  <c r="U131" i="1"/>
  <c r="U101" i="1"/>
  <c r="U90" i="1"/>
  <c r="U118" i="1"/>
  <c r="U91" i="1"/>
  <c r="U92" i="1"/>
  <c r="U119" i="1"/>
  <c r="U149" i="1"/>
  <c r="U115" i="1"/>
  <c r="U102" i="1"/>
  <c r="U127" i="1"/>
  <c r="U150" i="1"/>
  <c r="U125" i="1"/>
  <c r="U140" i="1"/>
  <c r="U93" i="1"/>
  <c r="U94" i="1"/>
  <c r="U128" i="1"/>
  <c r="U132" i="1"/>
  <c r="U129" i="1"/>
  <c r="U154" i="1"/>
  <c r="U103" i="1"/>
  <c r="U141" i="1"/>
  <c r="U95" i="1"/>
  <c r="U120" i="1"/>
  <c r="U166" i="1"/>
  <c r="U121" i="1"/>
  <c r="U185" i="1"/>
  <c r="U159" i="1"/>
  <c r="U151" i="1"/>
  <c r="U168" i="1"/>
  <c r="U143" i="1"/>
  <c r="U104" i="1"/>
  <c r="U170" i="1"/>
  <c r="U96" i="1"/>
  <c r="U97" i="1"/>
  <c r="U160" i="1"/>
  <c r="U161" i="1"/>
  <c r="U184" i="1"/>
  <c r="U174" i="1"/>
  <c r="U105" i="1"/>
  <c r="U171" i="1"/>
  <c r="U145" i="1"/>
  <c r="U98" i="1"/>
  <c r="U162" i="1"/>
  <c r="U99" i="1"/>
  <c r="U172" i="1"/>
  <c r="U173" i="1"/>
  <c r="U144" i="1"/>
  <c r="U176" i="1"/>
  <c r="U177" i="1"/>
  <c r="U156" i="1"/>
  <c r="U133" i="1"/>
  <c r="U130" i="1"/>
  <c r="U116" i="1"/>
  <c r="U117" i="1"/>
  <c r="U163" i="1"/>
  <c r="U106" i="1"/>
  <c r="U124" i="1"/>
  <c r="U126" i="1"/>
  <c r="U178" i="1"/>
  <c r="U134" i="1"/>
  <c r="U109" i="1"/>
  <c r="U179" i="1"/>
  <c r="U136" i="1"/>
  <c r="U181" i="1"/>
  <c r="U137" i="1"/>
  <c r="U182" i="1"/>
  <c r="U147" i="1"/>
  <c r="U110" i="1"/>
  <c r="U111" i="1"/>
  <c r="U157" i="1"/>
  <c r="U107" i="1"/>
  <c r="U122" i="1"/>
  <c r="U165" i="1"/>
  <c r="U183" i="1"/>
  <c r="U158" i="1"/>
  <c r="U164" i="1"/>
  <c r="U108" i="1"/>
  <c r="U112" i="1"/>
  <c r="U135" i="1"/>
  <c r="U113" i="1"/>
  <c r="U180" i="1"/>
  <c r="U148" i="1"/>
  <c r="U123" i="1"/>
  <c r="U114" i="1"/>
  <c r="U139" i="1"/>
  <c r="U89" i="1"/>
  <c r="U192" i="1"/>
  <c r="U207" i="1"/>
  <c r="U189" i="1"/>
  <c r="U186" i="1"/>
  <c r="U190" i="1"/>
  <c r="U200" i="1"/>
  <c r="U188" i="1"/>
  <c r="U197" i="1"/>
  <c r="U204" i="1"/>
  <c r="U198" i="1"/>
  <c r="U206" i="1"/>
  <c r="U202" i="1"/>
  <c r="U193" i="1"/>
  <c r="U199" i="1"/>
  <c r="U203" i="1"/>
  <c r="U205" i="1"/>
  <c r="U194" i="1"/>
  <c r="U195" i="1"/>
  <c r="U187" i="1"/>
  <c r="U201" i="1"/>
  <c r="U196" i="1"/>
  <c r="U212" i="1"/>
  <c r="U211" i="1"/>
  <c r="U209" i="1"/>
  <c r="U213" i="1"/>
  <c r="U210" i="1"/>
  <c r="U214" i="1"/>
  <c r="U215" i="1"/>
  <c r="U221" i="1"/>
  <c r="U222" i="1"/>
  <c r="U244" i="1"/>
  <c r="U254" i="1"/>
  <c r="U241" i="1"/>
  <c r="U231" i="1"/>
  <c r="U232" i="1"/>
  <c r="U243" i="1"/>
  <c r="U253" i="1"/>
  <c r="U245" i="1"/>
  <c r="U240" i="1"/>
  <c r="U239" i="1"/>
  <c r="U261" i="1"/>
  <c r="U234" i="1"/>
  <c r="U233" i="1"/>
  <c r="U246" i="1"/>
  <c r="U227" i="1"/>
  <c r="U242" i="1"/>
  <c r="U223" i="1"/>
  <c r="U247" i="1"/>
  <c r="U228" i="1"/>
  <c r="U226" i="1"/>
  <c r="U235" i="1"/>
  <c r="U229" i="1"/>
  <c r="U255" i="1"/>
  <c r="U263" i="1"/>
  <c r="U257" i="1"/>
  <c r="U256" i="1"/>
  <c r="U259" i="1"/>
  <c r="U262" i="1"/>
  <c r="U230" i="1"/>
  <c r="U238" i="1"/>
  <c r="U248" i="1"/>
  <c r="U251" i="1"/>
  <c r="U258" i="1"/>
  <c r="U236" i="1"/>
  <c r="U249" i="1"/>
  <c r="U250" i="1"/>
  <c r="U252" i="1"/>
  <c r="U260" i="1"/>
  <c r="U237" i="1"/>
  <c r="U225" i="1"/>
  <c r="U224" i="1"/>
  <c r="U266" i="1"/>
  <c r="U271" i="1"/>
  <c r="U268" i="1"/>
  <c r="U269" i="1"/>
  <c r="U270" i="1"/>
  <c r="U272" i="1"/>
  <c r="U273" i="1"/>
  <c r="U274" i="1"/>
  <c r="U275" i="1"/>
  <c r="U267" i="1"/>
  <c r="U276" i="1"/>
  <c r="U277" i="1"/>
  <c r="U2" i="1"/>
  <c r="T4" i="1"/>
  <c r="T3" i="1"/>
  <c r="T21" i="1"/>
  <c r="T42" i="1"/>
  <c r="T22" i="1"/>
  <c r="T10" i="1"/>
  <c r="T43" i="1"/>
  <c r="T39" i="1"/>
  <c r="T44" i="1"/>
  <c r="T38" i="1"/>
  <c r="T33" i="1"/>
  <c r="T40" i="1"/>
  <c r="T23" i="1"/>
  <c r="T41" i="1"/>
  <c r="T13" i="1"/>
  <c r="T17" i="1"/>
  <c r="T24" i="1"/>
  <c r="T18" i="1"/>
  <c r="T30" i="1"/>
  <c r="T35" i="1"/>
  <c r="T36" i="1"/>
  <c r="T31" i="1"/>
  <c r="T32" i="1"/>
  <c r="T14" i="1"/>
  <c r="T15" i="1"/>
  <c r="T45" i="1"/>
  <c r="T20" i="1"/>
  <c r="T16" i="1"/>
  <c r="T11" i="1"/>
  <c r="T37" i="1"/>
  <c r="T34" i="1"/>
  <c r="T5" i="1"/>
  <c r="T25" i="1"/>
  <c r="T28" i="1"/>
  <c r="T29" i="1"/>
  <c r="T6" i="1"/>
  <c r="T7" i="1"/>
  <c r="T8" i="1"/>
  <c r="T12" i="1"/>
  <c r="T9" i="1"/>
  <c r="T46" i="1"/>
  <c r="T54" i="1"/>
  <c r="T52" i="1"/>
  <c r="T53" i="1"/>
  <c r="T50" i="1"/>
  <c r="T55" i="1"/>
  <c r="T51" i="1"/>
  <c r="T56" i="1"/>
  <c r="T49" i="1"/>
  <c r="T48" i="1"/>
  <c r="T57" i="1"/>
  <c r="T58" i="1"/>
  <c r="T59" i="1"/>
  <c r="T67" i="1"/>
  <c r="T61" i="1"/>
  <c r="T64" i="1"/>
  <c r="T62" i="1"/>
  <c r="T65" i="1"/>
  <c r="T66" i="1"/>
  <c r="T69" i="1"/>
  <c r="T70" i="1"/>
  <c r="T73" i="1"/>
  <c r="T74" i="1"/>
  <c r="T71" i="1"/>
  <c r="T75" i="1"/>
  <c r="T72" i="1"/>
  <c r="T60" i="1"/>
  <c r="T77" i="1"/>
  <c r="T76" i="1"/>
  <c r="T78" i="1"/>
  <c r="T80" i="1"/>
  <c r="T79" i="1"/>
  <c r="T81" i="1"/>
  <c r="T83" i="1"/>
  <c r="T85" i="1"/>
  <c r="T84" i="1"/>
  <c r="T88" i="1"/>
  <c r="T86" i="1"/>
  <c r="T87" i="1"/>
  <c r="T82" i="1"/>
  <c r="T131" i="1"/>
  <c r="T101" i="1"/>
  <c r="T90" i="1"/>
  <c r="T118" i="1"/>
  <c r="T91" i="1"/>
  <c r="T92" i="1"/>
  <c r="T119" i="1"/>
  <c r="T149" i="1"/>
  <c r="T115" i="1"/>
  <c r="T102" i="1"/>
  <c r="T127" i="1"/>
  <c r="T150" i="1"/>
  <c r="T125" i="1"/>
  <c r="T140" i="1"/>
  <c r="T93" i="1"/>
  <c r="T94" i="1"/>
  <c r="T128" i="1"/>
  <c r="T132" i="1"/>
  <c r="T129" i="1"/>
  <c r="T154" i="1"/>
  <c r="T103" i="1"/>
  <c r="T141" i="1"/>
  <c r="T95" i="1"/>
  <c r="T120" i="1"/>
  <c r="T166" i="1"/>
  <c r="T121" i="1"/>
  <c r="T185" i="1"/>
  <c r="T159" i="1"/>
  <c r="T151" i="1"/>
  <c r="T168" i="1"/>
  <c r="T143" i="1"/>
  <c r="T104" i="1"/>
  <c r="T170" i="1"/>
  <c r="T96" i="1"/>
  <c r="T97" i="1"/>
  <c r="T160" i="1"/>
  <c r="T161" i="1"/>
  <c r="T184" i="1"/>
  <c r="T174" i="1"/>
  <c r="T105" i="1"/>
  <c r="T171" i="1"/>
  <c r="T145" i="1"/>
  <c r="T98" i="1"/>
  <c r="T162" i="1"/>
  <c r="T99" i="1"/>
  <c r="T172" i="1"/>
  <c r="T173" i="1"/>
  <c r="T144" i="1"/>
  <c r="T176" i="1"/>
  <c r="T177" i="1"/>
  <c r="T156" i="1"/>
  <c r="T133" i="1"/>
  <c r="T130" i="1"/>
  <c r="T116" i="1"/>
  <c r="T117" i="1"/>
  <c r="T163" i="1"/>
  <c r="T106" i="1"/>
  <c r="T124" i="1"/>
  <c r="T126" i="1"/>
  <c r="T178" i="1"/>
  <c r="T134" i="1"/>
  <c r="T109" i="1"/>
  <c r="T179" i="1"/>
  <c r="T136" i="1"/>
  <c r="T181" i="1"/>
  <c r="T137" i="1"/>
  <c r="T182" i="1"/>
  <c r="T147" i="1"/>
  <c r="T110" i="1"/>
  <c r="T111" i="1"/>
  <c r="T157" i="1"/>
  <c r="T107" i="1"/>
  <c r="T122" i="1"/>
  <c r="T165" i="1"/>
  <c r="T183" i="1"/>
  <c r="T158" i="1"/>
  <c r="T164" i="1"/>
  <c r="T108" i="1"/>
  <c r="T112" i="1"/>
  <c r="T135" i="1"/>
  <c r="T113" i="1"/>
  <c r="T180" i="1"/>
  <c r="T148" i="1"/>
  <c r="T123" i="1"/>
  <c r="T114" i="1"/>
  <c r="T139" i="1"/>
  <c r="T89" i="1"/>
  <c r="T192" i="1"/>
  <c r="T207" i="1"/>
  <c r="T189" i="1"/>
  <c r="T186" i="1"/>
  <c r="T190" i="1"/>
  <c r="T200" i="1"/>
  <c r="T188" i="1"/>
  <c r="T197" i="1"/>
  <c r="T204" i="1"/>
  <c r="T198" i="1"/>
  <c r="T206" i="1"/>
  <c r="T202" i="1"/>
  <c r="T193" i="1"/>
  <c r="T199" i="1"/>
  <c r="T203" i="1"/>
  <c r="T205" i="1"/>
  <c r="T194" i="1"/>
  <c r="T195" i="1"/>
  <c r="T187" i="1"/>
  <c r="T201" i="1"/>
  <c r="T196" i="1"/>
  <c r="T212" i="1"/>
  <c r="T211" i="1"/>
  <c r="T209" i="1"/>
  <c r="T213" i="1"/>
  <c r="T210" i="1"/>
  <c r="T214" i="1"/>
  <c r="T215" i="1"/>
  <c r="T221" i="1"/>
  <c r="T222" i="1"/>
  <c r="T244" i="1"/>
  <c r="T254" i="1"/>
  <c r="T241" i="1"/>
  <c r="T231" i="1"/>
  <c r="T232" i="1"/>
  <c r="T243" i="1"/>
  <c r="T253" i="1"/>
  <c r="T245" i="1"/>
  <c r="T240" i="1"/>
  <c r="T239" i="1"/>
  <c r="T261" i="1"/>
  <c r="T234" i="1"/>
  <c r="T233" i="1"/>
  <c r="T246" i="1"/>
  <c r="T227" i="1"/>
  <c r="T242" i="1"/>
  <c r="T223" i="1"/>
  <c r="T247" i="1"/>
  <c r="T228" i="1"/>
  <c r="T226" i="1"/>
  <c r="T235" i="1"/>
  <c r="T229" i="1"/>
  <c r="T255" i="1"/>
  <c r="T263" i="1"/>
  <c r="T257" i="1"/>
  <c r="T256" i="1"/>
  <c r="T259" i="1"/>
  <c r="T262" i="1"/>
  <c r="T230" i="1"/>
  <c r="T238" i="1"/>
  <c r="T248" i="1"/>
  <c r="T251" i="1"/>
  <c r="T258" i="1"/>
  <c r="T236" i="1"/>
  <c r="T249" i="1"/>
  <c r="T250" i="1"/>
  <c r="T252" i="1"/>
  <c r="T260" i="1"/>
  <c r="T237" i="1"/>
  <c r="T225" i="1"/>
  <c r="T224" i="1"/>
  <c r="T266" i="1"/>
  <c r="T271" i="1"/>
  <c r="T268" i="1"/>
  <c r="T269" i="1"/>
  <c r="T270" i="1"/>
  <c r="T272" i="1"/>
  <c r="T273" i="1"/>
  <c r="T274" i="1"/>
  <c r="T275" i="1"/>
  <c r="T267" i="1"/>
  <c r="T276" i="1"/>
  <c r="T277" i="1"/>
  <c r="T2" i="1"/>
</calcChain>
</file>

<file path=xl/sharedStrings.xml><?xml version="1.0" encoding="utf-8"?>
<sst xmlns="http://schemas.openxmlformats.org/spreadsheetml/2006/main" count="3643" uniqueCount="1358">
  <si>
    <t>评级</t>
  </si>
  <si>
    <t>国君估值表代码</t>
  </si>
  <si>
    <t>管理人名称</t>
  </si>
  <si>
    <t>基金经理</t>
  </si>
  <si>
    <t>托管机构</t>
  </si>
  <si>
    <t>策略开始日期</t>
  </si>
  <si>
    <t>数据质量</t>
  </si>
  <si>
    <t>备注</t>
  </si>
  <si>
    <t>主观期货</t>
  </si>
  <si>
    <t>☆☆☆☆☆</t>
  </si>
  <si>
    <t>展示</t>
  </si>
  <si>
    <t>SCU345</t>
  </si>
  <si>
    <t>P1066329</t>
  </si>
  <si>
    <t>浙江旌安私募基金有限公司</t>
  </si>
  <si>
    <t>NH</t>
  </si>
  <si>
    <t>主观股票</t>
  </si>
  <si>
    <t>价值</t>
  </si>
  <si>
    <t>☆☆☆☆</t>
  </si>
  <si>
    <t>SY7305</t>
  </si>
  <si>
    <t>中信资本中国价值回报私募证券投资基金</t>
  </si>
  <si>
    <t>P1029313</t>
  </si>
  <si>
    <t>远信（珠海）私募基金管理有限公司</t>
  </si>
  <si>
    <t>谢振东</t>
  </si>
  <si>
    <t>中信证券股份有限公司</t>
  </si>
  <si>
    <t>HS300</t>
  </si>
  <si>
    <t>A-</t>
  </si>
  <si>
    <t>成长</t>
  </si>
  <si>
    <t>☆☆☆</t>
  </si>
  <si>
    <t>SLU120</t>
  </si>
  <si>
    <t>中信资本中国价值成长私募证券投资基金</t>
  </si>
  <si>
    <t>周伟锋</t>
  </si>
  <si>
    <t>价值成长</t>
  </si>
  <si>
    <t>SD7190</t>
  </si>
  <si>
    <t>裕恒资本双龙一号私募证券投资基金</t>
  </si>
  <si>
    <t>P1016173</t>
  </si>
  <si>
    <t>金华市裕恒资本管理有限责任公司</t>
  </si>
  <si>
    <t>SY6829</t>
  </si>
  <si>
    <t>1XYZG8</t>
  </si>
  <si>
    <t>翔云50量化私募投资基金</t>
  </si>
  <si>
    <t>P1007271</t>
  </si>
  <si>
    <t>广州翔云私募基金管理有限公司</t>
  </si>
  <si>
    <t>许振琰</t>
  </si>
  <si>
    <t>华泰证券股份有限公司</t>
  </si>
  <si>
    <t>A</t>
  </si>
  <si>
    <t>SVD360</t>
  </si>
  <si>
    <t>VD360A</t>
  </si>
  <si>
    <t>上海高恩价值策略1号私募证券投资基金</t>
  </si>
  <si>
    <t>A类</t>
  </si>
  <si>
    <t>P1072816</t>
  </si>
  <si>
    <t>上海高恩私募基金管理有限公司</t>
  </si>
  <si>
    <t>刘文斌</t>
  </si>
  <si>
    <t>SW5334</t>
  </si>
  <si>
    <t>仁桥泽源1期私募证券投资基金</t>
  </si>
  <si>
    <t>P1063634</t>
  </si>
  <si>
    <t>仁桥（北京）资产管理有限公司</t>
  </si>
  <si>
    <t>夏俊杰</t>
  </si>
  <si>
    <t>SX9002</t>
  </si>
  <si>
    <t>毗陵青果私募证券投资基金</t>
  </si>
  <si>
    <t>P1074852</t>
  </si>
  <si>
    <t>毗陵私募基金管理（常州）有限公司</t>
  </si>
  <si>
    <t>李俊</t>
  </si>
  <si>
    <t>P1032176</t>
  </si>
  <si>
    <t>上海开思私募基金管理有限公司</t>
  </si>
  <si>
    <t>倪飞</t>
  </si>
  <si>
    <t>兴业证券股份有限公司</t>
  </si>
  <si>
    <t>SED129</t>
  </si>
  <si>
    <t>开思港股通中国优势私募基金</t>
  </si>
  <si>
    <t>中国银河证券股份有限公司</t>
  </si>
  <si>
    <t>SLN700</t>
  </si>
  <si>
    <t>久铭海豚1号私募证券投资基金</t>
  </si>
  <si>
    <t>P1028421</t>
  </si>
  <si>
    <t>上海久铭投资管理有限公司</t>
  </si>
  <si>
    <t>消费</t>
  </si>
  <si>
    <t>SJQ197</t>
  </si>
  <si>
    <t>佳岳-实投1号私募证券投资基金</t>
  </si>
  <si>
    <t>P1064142</t>
  </si>
  <si>
    <t>海南佳岳私募证券基金管理有限公司</t>
  </si>
  <si>
    <t>薛松</t>
  </si>
  <si>
    <t>广发证券股份有限公司</t>
  </si>
  <si>
    <t>SB6776</t>
  </si>
  <si>
    <t>B6776B</t>
  </si>
  <si>
    <t>容光蕴诚私募证券投资基金</t>
  </si>
  <si>
    <t>B类</t>
  </si>
  <si>
    <t>P1071908</t>
  </si>
  <si>
    <t>北京容光私募基金管理合伙企业（有限合伙）</t>
  </si>
  <si>
    <t>卢安平</t>
  </si>
  <si>
    <t>P1000419</t>
  </si>
  <si>
    <t>招商证券股份有限公司</t>
  </si>
  <si>
    <t>周期成长</t>
  </si>
  <si>
    <t>P1074280</t>
  </si>
  <si>
    <t>王臻、李乐凯</t>
  </si>
  <si>
    <t>SAAM49</t>
  </si>
  <si>
    <t>沁鸿臻选私募证券投资基金</t>
  </si>
  <si>
    <t>P1072693</t>
  </si>
  <si>
    <t>臻选(海南)私募基金管理有限公司</t>
  </si>
  <si>
    <t>刘德多</t>
  </si>
  <si>
    <t>李剑飞</t>
  </si>
  <si>
    <t>SVM022</t>
  </si>
  <si>
    <t>裕恒资本双龙6号私募证券投资基金</t>
  </si>
  <si>
    <t>SLL060</t>
  </si>
  <si>
    <t>仁桥鲲淼5期私募证券投资基金</t>
  </si>
  <si>
    <t>中国国际金融股份有限公司</t>
  </si>
  <si>
    <t>P1012531</t>
  </si>
  <si>
    <t>上海仙人掌私募基金管理合伙企业（有限合伙）</t>
  </si>
  <si>
    <t>SXW964</t>
  </si>
  <si>
    <t>毗陵鸣珂私募证券投资基金</t>
  </si>
  <si>
    <t>中信建投证券股份有限公司</t>
  </si>
  <si>
    <t>期权</t>
  </si>
  <si>
    <t>Delta中性套利</t>
  </si>
  <si>
    <t>SQD620</t>
  </si>
  <si>
    <t>深度梦扬量化套利0号私募证券投资基金</t>
  </si>
  <si>
    <t>P1065452</t>
  </si>
  <si>
    <t>杭州深度资产管理有限公司</t>
  </si>
  <si>
    <t>郭健、林舟驰</t>
  </si>
  <si>
    <t>SZM348</t>
  </si>
  <si>
    <t>深度梦扬量化1号私募证券投资基金</t>
  </si>
  <si>
    <t>多策略</t>
  </si>
  <si>
    <t>SB4770</t>
  </si>
  <si>
    <t>长石智赢11号私募证券投资基金</t>
  </si>
  <si>
    <t>P1074173</t>
  </si>
  <si>
    <t>三亚长石私募基金管理有限公司</t>
  </si>
  <si>
    <t>量化期货</t>
  </si>
  <si>
    <t>中周期、中低杠杆</t>
  </si>
  <si>
    <t>SXJ080</t>
  </si>
  <si>
    <t>1AAKO7</t>
  </si>
  <si>
    <t>因诺CTA2号私募证券投资基金</t>
  </si>
  <si>
    <t>P1006164</t>
  </si>
  <si>
    <t>因诺（上海）资产管理有限公司</t>
  </si>
  <si>
    <t>刘恒一;徐书楠</t>
  </si>
  <si>
    <t>中杠杆</t>
  </si>
  <si>
    <t>SQH418</t>
  </si>
  <si>
    <t>富励业长江1号宏观量化私募证券投资基金</t>
  </si>
  <si>
    <t>P1071888</t>
  </si>
  <si>
    <t>上海富励业私募基金管理有限公司</t>
  </si>
  <si>
    <t>俞国申</t>
  </si>
  <si>
    <t>SD8726</t>
  </si>
  <si>
    <t>黑翼CTA三号基金</t>
  </si>
  <si>
    <t>P1004419</t>
  </si>
  <si>
    <t>上海黑翼资产管理有限公司</t>
  </si>
  <si>
    <t>陈泽浩</t>
  </si>
  <si>
    <t>中短周期、中高杠杆</t>
  </si>
  <si>
    <t>SGW076</t>
  </si>
  <si>
    <t>佑维CTA平衡一号私募证券投资基金</t>
  </si>
  <si>
    <t>P1069947</t>
  </si>
  <si>
    <t>北京佑维投资管理有限公司</t>
  </si>
  <si>
    <t>王思达</t>
  </si>
  <si>
    <t>中周期、高杠杆</t>
  </si>
  <si>
    <t>SS0221</t>
  </si>
  <si>
    <t>均成CTA1号私募投资基金</t>
  </si>
  <si>
    <t>P1061222</t>
  </si>
  <si>
    <t>横琴均成资产管理有限公司</t>
  </si>
  <si>
    <t>司维</t>
  </si>
  <si>
    <t>套利、图形识别</t>
  </si>
  <si>
    <t>SQA536</t>
  </si>
  <si>
    <t>图斯和贞私募证券投资基金</t>
  </si>
  <si>
    <t>P1021209</t>
  </si>
  <si>
    <t>上海图斯投资管理有限公司</t>
  </si>
  <si>
    <t>吕昊</t>
  </si>
  <si>
    <t>SB2050</t>
  </si>
  <si>
    <t>P1074504</t>
  </si>
  <si>
    <t>南京长木私募基金管理合伙企业（有限合伙）</t>
  </si>
  <si>
    <t>SNR282</t>
  </si>
  <si>
    <t>裕锦量化专享2号私募证券投资基金</t>
  </si>
  <si>
    <t>P1071231</t>
  </si>
  <si>
    <t>深圳裕锦私募证券基金管理有限公司</t>
  </si>
  <si>
    <t>量化股票</t>
  </si>
  <si>
    <t>全市场选股</t>
  </si>
  <si>
    <t>SSU836</t>
  </si>
  <si>
    <t>1AAOA3</t>
  </si>
  <si>
    <t>宏桥合兴量化一号私募证券投资基金</t>
  </si>
  <si>
    <t>P1070777</t>
  </si>
  <si>
    <t>烟台宏桥私募（投资）基金管理有限公司</t>
  </si>
  <si>
    <t>刘宇</t>
  </si>
  <si>
    <t>ZZ1000</t>
  </si>
  <si>
    <t>1000指增</t>
  </si>
  <si>
    <t>SAAT36</t>
  </si>
  <si>
    <t>正定中证1000指数增强1号私募证券投资基金</t>
  </si>
  <si>
    <t>P1073791</t>
  </si>
  <si>
    <t>北京正定私募基金管理合伙企业（有限合伙）</t>
  </si>
  <si>
    <t>陈然</t>
  </si>
  <si>
    <t>SAML60</t>
  </si>
  <si>
    <t>AML60A</t>
  </si>
  <si>
    <t>1AAYK4</t>
  </si>
  <si>
    <t>泓原香湾中证1000指数增强1号私募证券投资基金</t>
  </si>
  <si>
    <t>P1074808</t>
  </si>
  <si>
    <t>上海泓原私募基金管理有限公司</t>
  </si>
  <si>
    <t>张凯程</t>
  </si>
  <si>
    <t>P1064558</t>
  </si>
  <si>
    <t>陕西顺义成投资管理有限公司</t>
  </si>
  <si>
    <t>程晓玮</t>
  </si>
  <si>
    <t>500指增</t>
  </si>
  <si>
    <t>SAAT35</t>
  </si>
  <si>
    <t>正定中证500指数增强1号私募证券投资基金</t>
  </si>
  <si>
    <t>ZZ500</t>
  </si>
  <si>
    <t>300指增</t>
  </si>
  <si>
    <t>SQZ004</t>
  </si>
  <si>
    <t>顺义成量化精选一号私募证券投资基金</t>
  </si>
  <si>
    <t>2000指增</t>
  </si>
  <si>
    <t>SADQ96</t>
  </si>
  <si>
    <t>乐水小波增强二号私募证券投资基金</t>
  </si>
  <si>
    <t>P1074548</t>
  </si>
  <si>
    <t>北京乐水私募基金管理有限公司</t>
  </si>
  <si>
    <t>郭岩</t>
  </si>
  <si>
    <t>ZZ2000</t>
  </si>
  <si>
    <t>量化择时</t>
  </si>
  <si>
    <t>SAFD88</t>
  </si>
  <si>
    <t>P1032164</t>
  </si>
  <si>
    <t>上海敦钰投资管理有限公司</t>
  </si>
  <si>
    <t>SGF562</t>
  </si>
  <si>
    <t>汇瑾安晟嘉平私募证券投资基金</t>
  </si>
  <si>
    <t>P1026466</t>
  </si>
  <si>
    <t>上海汇瑾资产管理有限公司</t>
  </si>
  <si>
    <t>SAQH31</t>
  </si>
  <si>
    <t>P1005623</t>
  </si>
  <si>
    <t>上海宽德私募基金管理中心（有限合伙）</t>
  </si>
  <si>
    <t>国信证券股份有限公司</t>
  </si>
  <si>
    <t>SH7639</t>
  </si>
  <si>
    <t>龙旗巨星一号私募投资基金</t>
  </si>
  <si>
    <t>P1000676</t>
  </si>
  <si>
    <t>杭州龙旗科技有限公司</t>
  </si>
  <si>
    <t>SZE926</t>
  </si>
  <si>
    <t>P1063021</t>
  </si>
  <si>
    <t>深圳芬德资本管理有限公司</t>
  </si>
  <si>
    <t>SXF921</t>
  </si>
  <si>
    <t>靖奇天弓二号私募证券投资基金</t>
  </si>
  <si>
    <t>P1019905</t>
  </si>
  <si>
    <t>上海靖奇投资管理有限公司</t>
  </si>
  <si>
    <t>强势股</t>
  </si>
  <si>
    <t>SW8083</t>
  </si>
  <si>
    <t>P1022432</t>
  </si>
  <si>
    <t>上海迎水投资管理有限公司</t>
  </si>
  <si>
    <t>SQW675</t>
  </si>
  <si>
    <t>衍复1000指增三号私募证券投资基金</t>
  </si>
  <si>
    <t>P1070325</t>
  </si>
  <si>
    <t>上海衍复投资管理有限公司</t>
  </si>
  <si>
    <t>SNB329</t>
  </si>
  <si>
    <t>SVC232</t>
  </si>
  <si>
    <t>海通证券股份有限公司</t>
  </si>
  <si>
    <t>SXA783</t>
  </si>
  <si>
    <t>SJB320</t>
  </si>
  <si>
    <t>宽德中证500指数增强2号私募证券投资基金</t>
  </si>
  <si>
    <t>SVS190</t>
  </si>
  <si>
    <t>宽德中证1000指数增强5号私募证券投资基金</t>
  </si>
  <si>
    <t>SSS278</t>
  </si>
  <si>
    <t>P1071253</t>
  </si>
  <si>
    <t>上海量派投资管理有限公司</t>
  </si>
  <si>
    <t>SAKP73</t>
  </si>
  <si>
    <t>可转债</t>
  </si>
  <si>
    <t>量化多头</t>
  </si>
  <si>
    <t>SVH952</t>
  </si>
  <si>
    <t>汉盛晓希1号私募证券投资基金</t>
  </si>
  <si>
    <t>P1072580</t>
  </si>
  <si>
    <t>上海汉鸿私募基金管理有限公司</t>
  </si>
  <si>
    <t>中证转债</t>
  </si>
  <si>
    <t>SAFD89</t>
  </si>
  <si>
    <t>AFD89B</t>
  </si>
  <si>
    <t>敦钰乐水稳健1号私募证券投资基金</t>
  </si>
  <si>
    <t>李祥文</t>
  </si>
  <si>
    <t>量化转债多头</t>
  </si>
  <si>
    <t>SALT65</t>
  </si>
  <si>
    <t>P1062571</t>
  </si>
  <si>
    <t>上海奇盾世家私募基金管理有限公司</t>
  </si>
  <si>
    <t>主观转债多头</t>
  </si>
  <si>
    <t>SANZ78</t>
  </si>
  <si>
    <t>ANZ78A</t>
  </si>
  <si>
    <t>盈怀问荆1号私募证券投资基金</t>
  </si>
  <si>
    <t>P1074847</t>
  </si>
  <si>
    <t>南京盈怀私募基金管理有限公司</t>
  </si>
  <si>
    <t>宏观对冲策略</t>
  </si>
  <si>
    <t>SJX860</t>
  </si>
  <si>
    <t>P1064961</t>
  </si>
  <si>
    <t>交睿（上海）投资管理有限公司</t>
  </si>
  <si>
    <t>张烈</t>
  </si>
  <si>
    <t>SND961</t>
  </si>
  <si>
    <t>量客泷韬系统化量化宏观alpha私募证券投资基金</t>
  </si>
  <si>
    <t>P1000568</t>
  </si>
  <si>
    <t>上海量客私募基金管理有限公司</t>
  </si>
  <si>
    <t>股票对冲</t>
  </si>
  <si>
    <t>量化股票中性</t>
  </si>
  <si>
    <t>SLD035</t>
  </si>
  <si>
    <t>LD035B</t>
  </si>
  <si>
    <t>1TWCZ4</t>
  </si>
  <si>
    <t>同温层量化阿尔法1号证券投资私募基金</t>
  </si>
  <si>
    <t>P1070801</t>
  </si>
  <si>
    <t>武汉同温层私募基金管理有限公司</t>
  </si>
  <si>
    <t>段海磊;王林海;徐聪</t>
  </si>
  <si>
    <t>SAJT84</t>
  </si>
  <si>
    <t>郭岩;马健</t>
  </si>
  <si>
    <t>SB1275</t>
  </si>
  <si>
    <t>乐水天清对冲一号私募证券投资基金</t>
  </si>
  <si>
    <t>SAPT12</t>
  </si>
  <si>
    <t>乐水灵泽对冲一号私募证券投资基金</t>
  </si>
  <si>
    <t>SB1291</t>
  </si>
  <si>
    <t>乐水天清对冲二号私募证券投资基金</t>
  </si>
  <si>
    <t>SVA177</t>
  </si>
  <si>
    <t>VA177B</t>
  </si>
  <si>
    <t>AAAW3</t>
  </si>
  <si>
    <t>知行通达金选量化对冲稳达2号私募证券投资基金</t>
  </si>
  <si>
    <t>P1072116</t>
  </si>
  <si>
    <t>深圳知行通达私募证券基金管理合伙企业（有限合伙）</t>
  </si>
  <si>
    <t>乐水海浪对冲一号私募证券投资基金</t>
  </si>
  <si>
    <t>量化股票中性、量化期货</t>
  </si>
  <si>
    <t>SGQ683</t>
  </si>
  <si>
    <t>SQG239</t>
  </si>
  <si>
    <t>珠海宽德金刚钻12号私募证券投资基金</t>
  </si>
  <si>
    <t>P1031924</t>
  </si>
  <si>
    <t>珠海宽德私募基金管理有限公司</t>
  </si>
  <si>
    <t>SJE634</t>
  </si>
  <si>
    <t>孝庸玉貔貅三号私募证券投资基金</t>
  </si>
  <si>
    <t>P1031310</t>
  </si>
  <si>
    <t>上海孝庸私募基金管理有限公司</t>
  </si>
  <si>
    <t>打板</t>
  </si>
  <si>
    <t>量化打板</t>
  </si>
  <si>
    <t>SQX078</t>
  </si>
  <si>
    <t>特夫郁金香全量化私募证券投资基金</t>
  </si>
  <si>
    <t>P1026263</t>
  </si>
  <si>
    <t>上海蓝色郁金香私募基金管理有限公司</t>
  </si>
  <si>
    <t>陈威</t>
  </si>
  <si>
    <t>华鑫证券有限责任公司</t>
  </si>
  <si>
    <t>STB912</t>
  </si>
  <si>
    <t>致达亿贝私募证券投资基金</t>
  </si>
  <si>
    <t>P1072465</t>
  </si>
  <si>
    <t>广东致达私募基金管理有限公司</t>
  </si>
  <si>
    <t>马文彬</t>
  </si>
  <si>
    <t>国投证券股份有限公司</t>
  </si>
  <si>
    <t>盘前排板</t>
  </si>
  <si>
    <t>STV497</t>
  </si>
  <si>
    <t>陈耕</t>
  </si>
  <si>
    <t>P1064314</t>
  </si>
  <si>
    <t>上海顾锝私募基金管理有限公司</t>
  </si>
  <si>
    <t>杨雪清</t>
  </si>
  <si>
    <t>SACQ68</t>
  </si>
  <si>
    <t>ACQ68A</t>
  </si>
  <si>
    <t>1AAWJ6</t>
  </si>
  <si>
    <t>创世纪顾锝新锐1号私募证券投资基金</t>
  </si>
  <si>
    <t>SEN677</t>
  </si>
  <si>
    <t>EN677B</t>
  </si>
  <si>
    <t>P1062573</t>
  </si>
  <si>
    <t>青岛博弈资产管理有限公司</t>
  </si>
  <si>
    <t>赵翔</t>
  </si>
  <si>
    <t>SADZ77</t>
  </si>
  <si>
    <t>宁波溢锋闪闪一号私募证券投资基金</t>
  </si>
  <si>
    <t>P1063867</t>
  </si>
  <si>
    <t>宁波溢锋私募基金管理有限公司</t>
  </si>
  <si>
    <t>项永杰</t>
  </si>
  <si>
    <t>SVG702</t>
  </si>
  <si>
    <t>致达萬贝私募证券投资基金</t>
  </si>
  <si>
    <t>华福证券有限责任公司</t>
  </si>
  <si>
    <t>STH890</t>
  </si>
  <si>
    <t>P1071373</t>
  </si>
  <si>
    <t>共青城极量投资管理合伙企业（有限合伙）</t>
  </si>
  <si>
    <t>张兴东、王栗</t>
  </si>
  <si>
    <t>SXR731</t>
  </si>
  <si>
    <t>特夫郁金香弦理1号私募证券投资基金</t>
  </si>
  <si>
    <t>SALA25</t>
  </si>
  <si>
    <t>SVN330</t>
  </si>
  <si>
    <t>易者共赢1号私募证券投资基金</t>
  </si>
  <si>
    <t>P1073117</t>
  </si>
  <si>
    <t>杭州易者私募基金管理有限公司</t>
  </si>
  <si>
    <t>SB3935</t>
  </si>
  <si>
    <t>SAFU81</t>
  </si>
  <si>
    <t>SSH871</t>
  </si>
  <si>
    <t>SARU83</t>
  </si>
  <si>
    <t>SAWF35</t>
  </si>
  <si>
    <t>翰荣安晟进取二号私募证券投资基金</t>
    <phoneticPr fontId="2" type="noConversion"/>
  </si>
  <si>
    <t>深圳翰荣私募证券基金管理有限公司</t>
  </si>
  <si>
    <t>P1063371</t>
  </si>
  <si>
    <t>上海信璞私募基金管理中心（有限合伙）</t>
  </si>
  <si>
    <t>策略标签-一级</t>
    <phoneticPr fontId="2" type="noConversion"/>
  </si>
  <si>
    <t>产品代码</t>
    <phoneticPr fontId="2" type="noConversion"/>
  </si>
  <si>
    <t>邮箱代码</t>
    <phoneticPr fontId="2" type="noConversion"/>
  </si>
  <si>
    <t>跟踪基金全称</t>
    <phoneticPr fontId="2" type="noConversion"/>
  </si>
  <si>
    <t>份额分类</t>
    <phoneticPr fontId="2" type="noConversion"/>
  </si>
  <si>
    <t>成立日期</t>
    <phoneticPr fontId="2" type="noConversion"/>
  </si>
  <si>
    <t>对标指数</t>
    <phoneticPr fontId="2" type="noConversion"/>
  </si>
  <si>
    <t>问题</t>
    <phoneticPr fontId="2" type="noConversion"/>
  </si>
  <si>
    <t>原产品</t>
    <phoneticPr fontId="2" type="noConversion"/>
  </si>
  <si>
    <t>更改</t>
    <phoneticPr fontId="2" type="noConversion"/>
  </si>
  <si>
    <t>备注</t>
    <phoneticPr fontId="2" type="noConversion"/>
  </si>
  <si>
    <t>微信中添加1000指增产品</t>
    <phoneticPr fontId="2" type="noConversion"/>
  </si>
  <si>
    <t>凯读青山私募证券投资基金</t>
    <phoneticPr fontId="2" type="noConversion"/>
  </si>
  <si>
    <t>清泉石新雨私募证券投资基金</t>
    <phoneticPr fontId="2" type="noConversion"/>
  </si>
  <si>
    <t>笃熙禀泰瑞禧1号私募证券投资基金</t>
    <phoneticPr fontId="2" type="noConversion"/>
  </si>
  <si>
    <t>时代共赢龙盘一号私募证券投资基金</t>
    <phoneticPr fontId="2" type="noConversion"/>
  </si>
  <si>
    <t>在阿里邮箱设定每周更新条件归档，Zxdatabase增加</t>
    <phoneticPr fontId="2" type="noConversion"/>
  </si>
  <si>
    <t>绵烁强势股1号私募证券投资基金C</t>
    <phoneticPr fontId="2" type="noConversion"/>
  </si>
  <si>
    <t>正仁股票择时一期私募证券投资基金</t>
  </si>
  <si>
    <t>联系管理人，在阿里邮箱设定每周更新条件归档，Zxdatabase增加</t>
    <phoneticPr fontId="2" type="noConversion"/>
  </si>
  <si>
    <t>守正用奇龙珠1号私募证券投资基金</t>
  </si>
  <si>
    <t>富善投资新利1号私募证券投资基金</t>
    <phoneticPr fontId="2" type="noConversion"/>
  </si>
  <si>
    <t>臻选真男人私募证券投资基金</t>
    <phoneticPr fontId="2" type="noConversion"/>
  </si>
  <si>
    <t>每周托管更新数据后，添加至Zxdatabase</t>
    <phoneticPr fontId="2" type="noConversion"/>
  </si>
  <si>
    <t>翰荣狮子量化精选一号私募证券投资基金</t>
    <phoneticPr fontId="2" type="noConversion"/>
  </si>
  <si>
    <t>确认是否替换正确</t>
    <phoneticPr fontId="2" type="noConversion"/>
  </si>
  <si>
    <t>新增至"臻选货架"</t>
    <phoneticPr fontId="2" type="noConversion"/>
  </si>
  <si>
    <t>“全天候”</t>
    <phoneticPr fontId="2" type="noConversion"/>
  </si>
  <si>
    <t>清泉石无对应系列产品，且原产品更新至20250531断更</t>
    <phoneticPr fontId="2" type="noConversion"/>
  </si>
  <si>
    <t>Mr. JIANG HAN</t>
  </si>
  <si>
    <t>国泰海通证券股份有限公司</t>
  </si>
  <si>
    <t/>
  </si>
  <si>
    <t>国泰君安证券股份有限公司</t>
  </si>
  <si>
    <t>ST9726</t>
  </si>
  <si>
    <t>博弈主升一号私募证券投资基金</t>
  </si>
  <si>
    <t>从20240119运作起始日</t>
  </si>
  <si>
    <t>已增加SAYW49=AYW49A</t>
  </si>
  <si>
    <t>量化股票中性、股指高频</t>
  </si>
  <si>
    <t>吕杰勇、方壮熙</t>
  </si>
  <si>
    <t>S4433B</t>
  </si>
  <si>
    <t>从20251231运作起始日</t>
  </si>
  <si>
    <t>SP607B</t>
  </si>
  <si>
    <t>从20260123运作起始日</t>
  </si>
  <si>
    <t>从20220709才有B类</t>
  </si>
  <si>
    <t>从20240927运作起始日</t>
  </si>
  <si>
    <t>从20241129运作起始日</t>
  </si>
  <si>
    <t>TT008B</t>
  </si>
  <si>
    <t>BKR00B</t>
  </si>
  <si>
    <t>从20260109运作起始日</t>
  </si>
  <si>
    <t>缺失部分无A类投资者</t>
  </si>
  <si>
    <t>SVP774</t>
  </si>
  <si>
    <t>P1072437</t>
  </si>
  <si>
    <t>上海合骥私募基金管理有限公司</t>
  </si>
  <si>
    <t>SVC177</t>
  </si>
  <si>
    <t>从20251212运作起始日</t>
  </si>
  <si>
    <t>从20250403运作起始日</t>
  </si>
  <si>
    <t>从20210813运作起始日</t>
  </si>
  <si>
    <t>忽略，已全部赎回</t>
  </si>
  <si>
    <t>从20250418运作起始日</t>
  </si>
  <si>
    <t>从20250307才有B类</t>
  </si>
  <si>
    <t>从20231117运作起始日</t>
  </si>
  <si>
    <t>20251212开始使用数据</t>
  </si>
  <si>
    <t>SBJV97</t>
  </si>
  <si>
    <t>郭健</t>
  </si>
  <si>
    <t>从20240830运作起始日</t>
  </si>
  <si>
    <t>从20250509开始</t>
  </si>
  <si>
    <t>从20240109才有D类</t>
  </si>
  <si>
    <t>从20240918运作起始日</t>
  </si>
  <si>
    <t>首板</t>
  </si>
  <si>
    <t>从20250103才有B类</t>
  </si>
  <si>
    <t>从20240607运作起始日</t>
  </si>
  <si>
    <t>从20241122才有C类</t>
  </si>
  <si>
    <t>保留20251106以后连续非零净值</t>
  </si>
  <si>
    <t>从20250103运作起始日</t>
  </si>
  <si>
    <t>从20250411运作起始日</t>
  </si>
  <si>
    <t>AHC74B</t>
  </si>
  <si>
    <t>ETF</t>
  </si>
  <si>
    <t>FOF策略</t>
  </si>
  <si>
    <t>打板+强势股</t>
  </si>
  <si>
    <t>复合策略-低波动</t>
  </si>
  <si>
    <t>复合策略-高波动</t>
  </si>
  <si>
    <t>商品套利</t>
  </si>
  <si>
    <t>债券增强</t>
  </si>
  <si>
    <t>套利</t>
  </si>
  <si>
    <t>多策略FOF</t>
  </si>
  <si>
    <t>主观多头FOF</t>
  </si>
  <si>
    <t>人工盘中板、盘前排板</t>
  </si>
  <si>
    <t>人工盘中板、低吸</t>
  </si>
  <si>
    <t>人工盘中板、盘前排板、低吸</t>
  </si>
  <si>
    <t>人工盘中首板、盘前排板</t>
  </si>
  <si>
    <t>人工盘中首板、低吸</t>
  </si>
  <si>
    <t>量化打板、强势股</t>
  </si>
  <si>
    <t>量化股票中性、股指期货高频</t>
  </si>
  <si>
    <t>量化股票中性、可转债时序、股指期货短周期</t>
  </si>
  <si>
    <t>期权套利、量化股票中性</t>
  </si>
  <si>
    <t>量化股票多头、量化期货</t>
  </si>
  <si>
    <t>主观期货、主观期权、主观股票</t>
  </si>
  <si>
    <t>风险平价</t>
  </si>
  <si>
    <t>微盘指增</t>
  </si>
  <si>
    <t>A500指增</t>
  </si>
  <si>
    <t>北证50指增</t>
  </si>
  <si>
    <t>北证指增</t>
  </si>
  <si>
    <t>行业</t>
  </si>
  <si>
    <t>短周期</t>
  </si>
  <si>
    <t>短周期、中低杠杆</t>
  </si>
  <si>
    <t>多策略、高杠杆</t>
  </si>
  <si>
    <t>多策略、中高杠杆</t>
  </si>
  <si>
    <t>股指期货</t>
  </si>
  <si>
    <t>规则类、中高杠杆</t>
  </si>
  <si>
    <t>中短周期、中低杠杆</t>
  </si>
  <si>
    <t>中长周期</t>
  </si>
  <si>
    <t>备兑</t>
  </si>
  <si>
    <t>跨期套利</t>
  </si>
  <si>
    <t>跨期套利、跨品种套利</t>
  </si>
  <si>
    <t>债券、可转债、股票</t>
  </si>
  <si>
    <t>交易型</t>
  </si>
  <si>
    <t>量化打板、盘前排板</t>
  </si>
  <si>
    <t>低位板</t>
  </si>
  <si>
    <t>低波动</t>
  </si>
  <si>
    <t>中波动</t>
  </si>
  <si>
    <t>wind小市值</t>
  </si>
  <si>
    <t>混合对冲</t>
  </si>
  <si>
    <t>中证2000</t>
  </si>
  <si>
    <t>中证500</t>
  </si>
  <si>
    <t>时序</t>
  </si>
  <si>
    <t>T0</t>
  </si>
  <si>
    <t>反转</t>
  </si>
  <si>
    <t>套利、趋势-中短周期、股指、基本面、高杠杆</t>
  </si>
  <si>
    <t>套利、趋势-中短周期、股指、基本面、中高杠杆</t>
  </si>
  <si>
    <t>高频</t>
  </si>
  <si>
    <t>趋势、跨期、跨品种套利</t>
  </si>
  <si>
    <t>医疗</t>
  </si>
  <si>
    <t>精选个股</t>
  </si>
  <si>
    <t>行业轮动</t>
  </si>
  <si>
    <t>港股</t>
  </si>
  <si>
    <t>短线交易</t>
  </si>
  <si>
    <t>☆</t>
  </si>
  <si>
    <t>☆☆</t>
  </si>
  <si>
    <t>不展示</t>
  </si>
  <si>
    <t>不展示-已不做</t>
  </si>
  <si>
    <t>SBBZ18</t>
  </si>
  <si>
    <t>SVX496</t>
  </si>
  <si>
    <t>SVB724</t>
  </si>
  <si>
    <t>SAXS45</t>
  </si>
  <si>
    <t>SBCE40</t>
  </si>
  <si>
    <t>SBLP24</t>
  </si>
  <si>
    <t>SXT404</t>
  </si>
  <si>
    <t>SVY320</t>
  </si>
  <si>
    <t>SLG401</t>
  </si>
  <si>
    <t>STT722</t>
  </si>
  <si>
    <t>SAXV37</t>
  </si>
  <si>
    <t>SAYW49</t>
  </si>
  <si>
    <t>SAVY99</t>
  </si>
  <si>
    <t>SBBY84</t>
  </si>
  <si>
    <t>SBAK45</t>
  </si>
  <si>
    <t>SANM92</t>
  </si>
  <si>
    <t>SAQS85</t>
  </si>
  <si>
    <t>SAWM19</t>
  </si>
  <si>
    <t>STA666</t>
  </si>
  <si>
    <t>SANR59</t>
  </si>
  <si>
    <t>SAPF83</t>
  </si>
  <si>
    <t>SBAK44</t>
  </si>
  <si>
    <t>SBHD16</t>
  </si>
  <si>
    <t>SS4433</t>
  </si>
  <si>
    <t>SGU369</t>
  </si>
  <si>
    <t>SNP130</t>
  </si>
  <si>
    <t>SACG52</t>
  </si>
  <si>
    <t>SAJR29</t>
  </si>
  <si>
    <t>SSP607</t>
  </si>
  <si>
    <t>SSM176</t>
  </si>
  <si>
    <t>STV890</t>
  </si>
  <si>
    <t>SZT461</t>
  </si>
  <si>
    <t>SXU054</t>
  </si>
  <si>
    <t>SATT89</t>
  </si>
  <si>
    <t>SAPD01</t>
  </si>
  <si>
    <t>SBKR51</t>
  </si>
  <si>
    <t>SJA839</t>
  </si>
  <si>
    <t>SQX593</t>
  </si>
  <si>
    <t>SADW09</t>
  </si>
  <si>
    <t>SAUS71</t>
  </si>
  <si>
    <t>SB5590</t>
  </si>
  <si>
    <t>SADR35</t>
  </si>
  <si>
    <t>SXW242</t>
  </si>
  <si>
    <t>SVH107</t>
  </si>
  <si>
    <t>SADY68</t>
  </si>
  <si>
    <t>SXN345</t>
  </si>
  <si>
    <t>SBBK73</t>
  </si>
  <si>
    <t>SAZJ82</t>
  </si>
  <si>
    <t>SADH56</t>
  </si>
  <si>
    <t>SBHF79</t>
  </si>
  <si>
    <t>SARF85</t>
  </si>
  <si>
    <t>SAHV04</t>
  </si>
  <si>
    <t>SAVU56</t>
  </si>
  <si>
    <t>STF313</t>
  </si>
  <si>
    <t>SALY68</t>
  </si>
  <si>
    <t>SBFJ93</t>
  </si>
  <si>
    <t>SAHC74</t>
  </si>
  <si>
    <t>SZC710</t>
  </si>
  <si>
    <t>SLJ801</t>
  </si>
  <si>
    <t>SAEW78</t>
  </si>
  <si>
    <t>SBDK61</t>
  </si>
  <si>
    <t>SVT259</t>
  </si>
  <si>
    <t>SAWD90</t>
  </si>
  <si>
    <t>SAWP28</t>
  </si>
  <si>
    <t>SAKW02</t>
  </si>
  <si>
    <t>STT008</t>
  </si>
  <si>
    <t>SXV406</t>
  </si>
  <si>
    <t>SSW402</t>
  </si>
  <si>
    <t>SZH500</t>
  </si>
  <si>
    <t>SAQM86</t>
  </si>
  <si>
    <t>SAHV52</t>
  </si>
  <si>
    <t>SARC95</t>
  </si>
  <si>
    <t>SALM17</t>
  </si>
  <si>
    <t>SATF00</t>
  </si>
  <si>
    <t>SBKR00</t>
  </si>
  <si>
    <t>SAZC12</t>
  </si>
  <si>
    <t>SBFV58</t>
  </si>
  <si>
    <t>SSE467</t>
  </si>
  <si>
    <t>STC569</t>
  </si>
  <si>
    <t>SVC879</t>
  </si>
  <si>
    <t>SZC020</t>
  </si>
  <si>
    <t>SVR172</t>
  </si>
  <si>
    <t>SARD76</t>
  </si>
  <si>
    <t>SAXV39</t>
  </si>
  <si>
    <t>SBDD33</t>
  </si>
  <si>
    <t>SBDD35</t>
  </si>
  <si>
    <t>SXL726</t>
  </si>
  <si>
    <t>SAXP68</t>
  </si>
  <si>
    <t>SBHM78</t>
  </si>
  <si>
    <t>SVB591</t>
  </si>
  <si>
    <t>STP493</t>
  </si>
  <si>
    <t>SGT399</t>
  </si>
  <si>
    <t>SB4735</t>
  </si>
  <si>
    <t>SY7087</t>
  </si>
  <si>
    <t>SBKK08</t>
  </si>
  <si>
    <t>SBFU80</t>
  </si>
  <si>
    <t>SAYP48</t>
  </si>
  <si>
    <t>SBDX49</t>
  </si>
  <si>
    <t>SAXP18</t>
  </si>
  <si>
    <t>SAPY25</t>
  </si>
  <si>
    <t>SXG593</t>
  </si>
  <si>
    <t>SB5360</t>
  </si>
  <si>
    <t>SAFW50</t>
  </si>
  <si>
    <t>SAQB83</t>
  </si>
  <si>
    <t>SVW664</t>
  </si>
  <si>
    <t>SZL441</t>
  </si>
  <si>
    <t>SBAS98</t>
  </si>
  <si>
    <t>SAAU62</t>
  </si>
  <si>
    <t>SBEG47</t>
  </si>
  <si>
    <t>SBDG69</t>
  </si>
  <si>
    <t>SXZ504</t>
  </si>
  <si>
    <t>SBEM86</t>
  </si>
  <si>
    <t>SXX066</t>
  </si>
  <si>
    <t>SAUV17</t>
  </si>
  <si>
    <t>S03854</t>
  </si>
  <si>
    <t>STV351</t>
  </si>
  <si>
    <t>SSX186</t>
  </si>
  <si>
    <t>STS742</t>
  </si>
  <si>
    <t>SVT405</t>
  </si>
  <si>
    <t>SACZ75</t>
  </si>
  <si>
    <t>SM8325</t>
  </si>
  <si>
    <t>S63961</t>
  </si>
  <si>
    <t>SNW198</t>
  </si>
  <si>
    <t>SVP271</t>
  </si>
  <si>
    <t>SQK316</t>
  </si>
  <si>
    <t>SALZ86</t>
  </si>
  <si>
    <t>SSA386</t>
  </si>
  <si>
    <t>STJ864</t>
  </si>
  <si>
    <t>SBDC67</t>
  </si>
  <si>
    <t>SZA303</t>
  </si>
  <si>
    <t>SNG851</t>
  </si>
  <si>
    <t>STY952</t>
  </si>
  <si>
    <t>SQF508</t>
  </si>
  <si>
    <t>SS5579</t>
  </si>
  <si>
    <t>SQC776</t>
  </si>
  <si>
    <t>SXF554</t>
  </si>
  <si>
    <t>SAYV89</t>
  </si>
  <si>
    <t>SNT412</t>
  </si>
  <si>
    <t>SAAH76</t>
  </si>
  <si>
    <t>STY144</t>
  </si>
  <si>
    <t>SAKR52</t>
  </si>
  <si>
    <t>SAXK98</t>
  </si>
  <si>
    <t>SAPF49</t>
  </si>
  <si>
    <t>SZA132</t>
  </si>
  <si>
    <t>SXZ886</t>
  </si>
  <si>
    <t>SSA100</t>
  </si>
  <si>
    <t>BBZ18A</t>
  </si>
  <si>
    <t>VB724B</t>
  </si>
  <si>
    <t>XT404A</t>
  </si>
  <si>
    <t>VY320A</t>
  </si>
  <si>
    <t>LG401A</t>
  </si>
  <si>
    <t>TT722A</t>
  </si>
  <si>
    <t>AXV37A</t>
  </si>
  <si>
    <t>AYW49A</t>
  </si>
  <si>
    <t>TV497A</t>
  </si>
  <si>
    <t>T9726B</t>
  </si>
  <si>
    <t>BBY84A</t>
  </si>
  <si>
    <t>BBY84B</t>
  </si>
  <si>
    <t>BAK45A</t>
  </si>
  <si>
    <t>BAK45B</t>
  </si>
  <si>
    <t>AWM19A</t>
  </si>
  <si>
    <t>TA666B</t>
  </si>
  <si>
    <t>BAK44A</t>
  </si>
  <si>
    <t>GQ683B</t>
  </si>
  <si>
    <t>NP130A</t>
  </si>
  <si>
    <t>AJR29B</t>
  </si>
  <si>
    <t>SM176B</t>
  </si>
  <si>
    <t>TV890B</t>
  </si>
  <si>
    <t>ZT461B</t>
  </si>
  <si>
    <t>BKR51B</t>
  </si>
  <si>
    <t>B3935B</t>
  </si>
  <si>
    <t>JX860A</t>
  </si>
  <si>
    <t>AUS71A</t>
  </si>
  <si>
    <t>ALT65A</t>
  </si>
  <si>
    <t>ZE926A</t>
  </si>
  <si>
    <t>VP774B</t>
  </si>
  <si>
    <t>ADR35A</t>
  </si>
  <si>
    <t>XW242A</t>
  </si>
  <si>
    <t>VH107B</t>
  </si>
  <si>
    <t>ADY68B</t>
  </si>
  <si>
    <t>XN345B</t>
  </si>
  <si>
    <t>BJV97A</t>
  </si>
  <si>
    <t>BBK73B</t>
  </si>
  <si>
    <t>BBK73C</t>
  </si>
  <si>
    <t>ADH56B</t>
  </si>
  <si>
    <t>BHF79A</t>
  </si>
  <si>
    <t>AVU56B</t>
  </si>
  <si>
    <t>TF313D</t>
  </si>
  <si>
    <t>ALY68B</t>
  </si>
  <si>
    <t>LJ801A</t>
  </si>
  <si>
    <t>BDK61B</t>
  </si>
  <si>
    <t>SS278B</t>
  </si>
  <si>
    <t>VC177B</t>
  </si>
  <si>
    <t>ZH500B</t>
  </si>
  <si>
    <t>AQH31B</t>
  </si>
  <si>
    <t>ARC95B</t>
  </si>
  <si>
    <t>ALM17B</t>
  </si>
  <si>
    <t>AZC12A</t>
  </si>
  <si>
    <t>BFV58A</t>
  </si>
  <si>
    <t>SE467B</t>
  </si>
  <si>
    <t>TC569A</t>
  </si>
  <si>
    <t>AFD88B</t>
  </si>
  <si>
    <t>AKP73B</t>
  </si>
  <si>
    <t>ZC020A</t>
  </si>
  <si>
    <t>AXV39B</t>
  </si>
  <si>
    <t>BDD33C</t>
  </si>
  <si>
    <t>BDD35C</t>
  </si>
  <si>
    <t>W8083A</t>
  </si>
  <si>
    <t>NB329A</t>
  </si>
  <si>
    <t>BHM78B</t>
  </si>
  <si>
    <t>VB591B</t>
  </si>
  <si>
    <t>AWF35A</t>
  </si>
  <si>
    <t>B4735B</t>
  </si>
  <si>
    <t>BKK08D</t>
  </si>
  <si>
    <t>XA783A</t>
  </si>
  <si>
    <t>VC232B</t>
  </si>
  <si>
    <t>BFU80B</t>
  </si>
  <si>
    <t>AYP48B</t>
  </si>
  <si>
    <t>AXP18A</t>
  </si>
  <si>
    <t>APY25A</t>
  </si>
  <si>
    <t>AFW50B</t>
  </si>
  <si>
    <t>ZL441A</t>
  </si>
  <si>
    <t>BAS98A</t>
  </si>
  <si>
    <t>B2050A</t>
  </si>
  <si>
    <t>AFU81B</t>
  </si>
  <si>
    <t>XZ504B</t>
  </si>
  <si>
    <t>XX066B</t>
  </si>
  <si>
    <t>AUV17A</t>
  </si>
  <si>
    <t>SX186B</t>
  </si>
  <si>
    <t>ACZ75B</t>
  </si>
  <si>
    <t>M8325A</t>
  </si>
  <si>
    <t>ED129B</t>
  </si>
  <si>
    <t>XW964C</t>
  </si>
  <si>
    <t>VP271B</t>
  </si>
  <si>
    <t>LN700A</t>
  </si>
  <si>
    <t>ARU83C</t>
  </si>
  <si>
    <t>ALZ86B</t>
  </si>
  <si>
    <t>TJ864B</t>
  </si>
  <si>
    <t>BDC67A</t>
  </si>
  <si>
    <t>ZA303B</t>
  </si>
  <si>
    <t>ZA303A</t>
  </si>
  <si>
    <t>QF508C</t>
  </si>
  <si>
    <t>CU345B</t>
  </si>
  <si>
    <t>AKR52B</t>
  </si>
  <si>
    <t>AXK98B</t>
  </si>
  <si>
    <t>APF49B</t>
  </si>
  <si>
    <t>ZA132B</t>
  </si>
  <si>
    <t>XZ886B</t>
  </si>
  <si>
    <t>笃熙禀泰瑞禧1号私募证券投资基金</t>
  </si>
  <si>
    <t>笃熙禀泰瑞禧3号私募证券投资基金</t>
  </si>
  <si>
    <t>衡颐嘉选1号私募证券投资基金</t>
  </si>
  <si>
    <t>衡颐嘉选2号私募证券投资基金</t>
  </si>
  <si>
    <t>特夫郁金香九号私募证券投资基金</t>
  </si>
  <si>
    <t>致达京贝私募证券投资基金</t>
  </si>
  <si>
    <t>致达兆贝私募证券投资基金</t>
  </si>
  <si>
    <t>汇利玖奕1号私募证券投资基金</t>
  </si>
  <si>
    <t>汇利玖奕2号私募证券投资基金</t>
  </si>
  <si>
    <t>量道追风1号私募证券投资基金</t>
  </si>
  <si>
    <t>绵烁低波稳健1号私募证券投资基金</t>
  </si>
  <si>
    <t>时代共赢龙盘一号私募证券投资基金</t>
  </si>
  <si>
    <t>迎水元宝11号私募证券投资基金</t>
  </si>
  <si>
    <t>曌文大红二号私募证券投资基金</t>
  </si>
  <si>
    <t>恺俊新锐1号私募证券投资基金</t>
  </si>
  <si>
    <t>绵烁土龙1号私募证券投资基金</t>
  </si>
  <si>
    <t>创世纪顾锝屠龙1号私募证券投资基金</t>
  </si>
  <si>
    <t>创世纪顾锝屠龙2号私募证券投资基金</t>
  </si>
  <si>
    <t>创世纪顾锝屠龙4号私募证券投资基金</t>
  </si>
  <si>
    <t>简文日昇1号私募证券投资基金</t>
  </si>
  <si>
    <t>简文日昇8号私募证券投资基金</t>
  </si>
  <si>
    <t>简文日昇9号私募证券投资基金</t>
  </si>
  <si>
    <t>绵烁群鹰1号私募证券投资基金</t>
  </si>
  <si>
    <t>凌鸿志星斗一号私募证券投资基金</t>
  </si>
  <si>
    <t>平方和信享私募证券投资基金</t>
  </si>
  <si>
    <t>上海宽德金刚钻6号私募证券投资基金</t>
  </si>
  <si>
    <t>量派对冲11号私募证券投资基金</t>
  </si>
  <si>
    <t>千衍六贞1号私募证券投资基金</t>
  </si>
  <si>
    <t>千衍六贞3号私募证券投资基金</t>
  </si>
  <si>
    <t>申毅格物39号私募证券投资基金</t>
  </si>
  <si>
    <t>黑翼优选灵泰多策略运作1号私募证券投资基金</t>
  </si>
  <si>
    <t>臻选之常私募证券投资基金</t>
  </si>
  <si>
    <t>半鞅量化对冲6号私募证券投资基金</t>
  </si>
  <si>
    <t>蝶威平衡对冲1号私募证券投资基金</t>
  </si>
  <si>
    <t>乐水海浪对冲二号私募证券投资基金</t>
  </si>
  <si>
    <t>平方和衡盛31号私募证券投资基金</t>
  </si>
  <si>
    <t>平方和智增1号私募证券投资基金</t>
  </si>
  <si>
    <t>孝庸市场中性一号私募证券投资基金</t>
  </si>
  <si>
    <t>玄信市场中性2号私募证券投资基金</t>
  </si>
  <si>
    <t>乐水谷盈对冲三号私募证券投资基金</t>
  </si>
  <si>
    <t>富善投资新利1号私募证券投资基金</t>
  </si>
  <si>
    <t>交睿宏观配置1号私募证券投资基金</t>
  </si>
  <si>
    <t>泓原东湖1号私募证券投资基金</t>
  </si>
  <si>
    <t>宽辅专享1号私募证券投资基金</t>
  </si>
  <si>
    <t>奇盾安富尊荣2号私募证券投资基金</t>
  </si>
  <si>
    <t>芬德-环翼量化指增1号私募证券投资基金</t>
  </si>
  <si>
    <t>合骥睿源1000增强3号私募证券投资基金</t>
  </si>
  <si>
    <t>锦徽中证1000指数增强1号私募证券投资基金</t>
  </si>
  <si>
    <t>量派金选中证1000指数增强26号私募证券投资基金</t>
  </si>
  <si>
    <t>茂源金选中证1000指数增强5号私募证券投资基金</t>
  </si>
  <si>
    <t>平方和鼎盛中证1000指数增强8号私募证券投资基金</t>
  </si>
  <si>
    <t>千衍六和53号1000指增私募证券投资基金</t>
  </si>
  <si>
    <t>柔微量化中证1000指数增强1号私募证券投资基金</t>
  </si>
  <si>
    <t>C类</t>
  </si>
  <si>
    <t>深度臻选1000指数增强1号私募证券投资基金</t>
  </si>
  <si>
    <t>无涯中证1000指数增强1号私募证券投资基金</t>
  </si>
  <si>
    <t>香农吉祥1000指增五号私募证券投资基金</t>
  </si>
  <si>
    <t>香农吉祥1000指增一号私募证券投资基金</t>
  </si>
  <si>
    <t>玄信星选1000指数增强1号私募证券投资基金</t>
  </si>
  <si>
    <t>亦赋尤里卡1号多策略私募证券投资基金</t>
  </si>
  <si>
    <t>臻选进击的弗拉明戈私募证券投资基金</t>
  </si>
  <si>
    <t>D类</t>
  </si>
  <si>
    <t>正定中证1000指数增强2号私募证券投资基金</t>
  </si>
  <si>
    <t>中利中证1000指数增强0号私募证券投资基金</t>
  </si>
  <si>
    <t>合骥睿源2000增强1号私募证券投资基金</t>
  </si>
  <si>
    <t>凯读投资指数增强1号私募证券投资基金</t>
  </si>
  <si>
    <t>凯读投资中证2000指数增强1号私募证券投资基金</t>
  </si>
  <si>
    <t>平方和鼎盛中证2000指数增强21号私募证券投资基金</t>
  </si>
  <si>
    <t>数法天枢量化优选私募证券投资基金</t>
  </si>
  <si>
    <t>顽岩中证2000指数增强1号私募证券投资基金</t>
  </si>
  <si>
    <t>香农吉祥2000指增一号私募证券投资基金</t>
  </si>
  <si>
    <t>正瀛骐骥指数增强37号私募证券投资基金</t>
  </si>
  <si>
    <t>量派金选沪深300指数增强22号私募证券投资基金</t>
  </si>
  <si>
    <t>平方和鼎盛沪深300指数增强30号私募证券投资基金</t>
  </si>
  <si>
    <t>半鞅中证500指数增强私募证券投资基金</t>
  </si>
  <si>
    <t>合骥睿源500增强2号私募证券投资基金</t>
  </si>
  <si>
    <t>平方和鼎盛中证500指数增强9号私募证券投资基金</t>
  </si>
  <si>
    <t>千衍六和2号私募证券投资基金</t>
  </si>
  <si>
    <t>香农吉祥500指增一号私募证券投资基金</t>
  </si>
  <si>
    <t>正定中证500指数增强2号私募证券投资基金</t>
  </si>
  <si>
    <t>正定中证500指数增强5号私募证券投资基金</t>
  </si>
  <si>
    <t>正定中证500指数增强8号私募证券投资基金</t>
  </si>
  <si>
    <t>信弘中证A500指数增强2号量化私募证券投资基金</t>
  </si>
  <si>
    <t>伯兄颐德私募证券投资基金</t>
  </si>
  <si>
    <t>超量子诸市全选1号私募证券投资基金</t>
  </si>
  <si>
    <t>泓原东湖2号私募证券投资基金</t>
  </si>
  <si>
    <t>蒙玺分形10号私募证券投资基金</t>
  </si>
  <si>
    <t>玄信星选1000指数增强2号私募证券投资基金</t>
  </si>
  <si>
    <t>敦钰乐山稳健1号私募证券投资基金</t>
  </si>
  <si>
    <t>敦钰乐山稳健2号私募证券投资基金</t>
  </si>
  <si>
    <t>瀚鑫纸鸢量化优选私募证券投资基金</t>
  </si>
  <si>
    <t>中利云帆济海私募证券投资基金</t>
  </si>
  <si>
    <t>绵烁强势股1号私募证券投资基金</t>
  </si>
  <si>
    <t>绵烁强势股2号私募证券投资基金</t>
  </si>
  <si>
    <t>香农金玉满堂量化选股二号私募证券投资基金</t>
  </si>
  <si>
    <t>迎水龙凤呈祥4号私募证券投资基金</t>
  </si>
  <si>
    <t>迎水绿洲11号私募证券投资基金</t>
  </si>
  <si>
    <t>铸锋承影13号私募证券投资基金</t>
  </si>
  <si>
    <t>翰荣安晟进取二号私募证券投资基金</t>
  </si>
  <si>
    <t>翰荣狮子量化精选一号私募证券投资基金</t>
  </si>
  <si>
    <t>宽德飞虹43号私募证券投资基金</t>
  </si>
  <si>
    <t>明汯股票精选41期私募证券投资基金</t>
  </si>
  <si>
    <t>平方和量化精选1号私募基金</t>
  </si>
  <si>
    <t>柔微量化选股1号私募证券投资基金</t>
  </si>
  <si>
    <t>上海宽德宽睿私募证券投资基金</t>
  </si>
  <si>
    <t>橡红启航1号私募证券投资基金</t>
  </si>
  <si>
    <t>亦赋量选1号私募证券投资基金</t>
  </si>
  <si>
    <t>量盈医药医疗增强一号私募证券投资基金</t>
  </si>
  <si>
    <t>奇盾安富尊荣3号私募证券投资基金</t>
  </si>
  <si>
    <t>博孚利青璜3号私募证券投资基金</t>
  </si>
  <si>
    <t>细水CTA精选1号私募证券投资基金</t>
  </si>
  <si>
    <t>细水居22号私募证券投资基金</t>
  </si>
  <si>
    <t>细水居28号私募证券投资基金</t>
  </si>
  <si>
    <t>常行稳健5号私募证券投资基金</t>
  </si>
  <si>
    <t>蝶威行健私募证券投资基金</t>
  </si>
  <si>
    <t>积沐顺势量行一号私募证券投资基金</t>
  </si>
  <si>
    <t>鸣熙日耀套利1号私募证券投资基金</t>
  </si>
  <si>
    <t>芬德-环翼2号私募证券投资基金</t>
  </si>
  <si>
    <t>量智传奇CTA三号私募证券投资基金</t>
  </si>
  <si>
    <t>南京长木常青1号私募证券投资基金</t>
  </si>
  <si>
    <t>洛书信享CTA1号私募证券投资基金</t>
  </si>
  <si>
    <t>黑翼金选多策略3号私募证券投资基金</t>
  </si>
  <si>
    <t>君宜敏泰私募证券投资基金</t>
  </si>
  <si>
    <t>臻选期权套利一号私募证券投资基金</t>
  </si>
  <si>
    <t>盈怀香柏树15号私募证券投资基金</t>
  </si>
  <si>
    <t>佳岳-实投3号私募证券投资基金</t>
  </si>
  <si>
    <t>磐耀智多星私募证券投资基金</t>
  </si>
  <si>
    <t>臻选不一私募证券投资基金</t>
  </si>
  <si>
    <t>富善投资星牛1号私募证券投资基金</t>
  </si>
  <si>
    <t>富善投资星牛3号私募证券投资基金</t>
  </si>
  <si>
    <t>龙全2号私募投资基金</t>
  </si>
  <si>
    <t>龙全千里马之赤兔私募证券投资基金</t>
  </si>
  <si>
    <t>睿郡有孚2号私募证券投资基金</t>
  </si>
  <si>
    <t>信璞投资-价值精英M4私募证券投资基金</t>
  </si>
  <si>
    <t>信璞投资-金选价值M2私募证券投资基金</t>
  </si>
  <si>
    <t>通怡股票低波择时1号私募证券投资基金</t>
  </si>
  <si>
    <t>臻选真男人私募证券投资基金</t>
  </si>
  <si>
    <t>创世纪顾锝灵活多策略1号私募证券投资基金</t>
  </si>
  <si>
    <t>奇盛价值前瞻7号私募证券投资基金</t>
  </si>
  <si>
    <t>奇盛价值前瞻私募证券投资基金</t>
  </si>
  <si>
    <t>仙人掌飞扬二十一号私募证券投资基金</t>
  </si>
  <si>
    <t>仙人掌研究精选三号私募证券投资基金</t>
  </si>
  <si>
    <t xml:space="preserve">仙人掌盈沣远航一号私募证券投资基金	</t>
  </si>
  <si>
    <t>盈舞正奇1号私募证券投资基金</t>
  </si>
  <si>
    <t>旌安1号私募投资基金</t>
  </si>
  <si>
    <t>天戈紫竹七号私募证券投资基金</t>
  </si>
  <si>
    <t>和顿锦绣未来私募证券投资基金</t>
  </si>
  <si>
    <t>联海守望者8号私募证券投资基金</t>
  </si>
  <si>
    <t>联海守望者9号私募证券投资基金</t>
  </si>
  <si>
    <t>罗维盈安伏波2号私募证券投资基金</t>
  </si>
  <si>
    <t>罗维盈安启航LS一号私募证券投资基金</t>
  </si>
  <si>
    <t>罗维盈安启航共赢1号私募证券投资基金</t>
  </si>
  <si>
    <t>罗维盈安启航量化优选1号私募证券投资基金</t>
  </si>
  <si>
    <t>罗维盈安之升1000增强2号私募证券投资基金</t>
  </si>
  <si>
    <t>千衍金选六和9号指数增强私募证券投资基金</t>
  </si>
  <si>
    <t>元盛中国多元化七号私募证券投资基金</t>
  </si>
  <si>
    <t>P1060665</t>
  </si>
  <si>
    <t>上海绵烁资产管理有限公司</t>
  </si>
  <si>
    <t>臻选（海南）私募基金管理有限公司</t>
  </si>
  <si>
    <t>俞啸诚</t>
  </si>
  <si>
    <t>P1071264</t>
  </si>
  <si>
    <t>上海笃熙禀泰私募基金管理有限公司</t>
  </si>
  <si>
    <t>唐福全</t>
  </si>
  <si>
    <t>P1026693</t>
  </si>
  <si>
    <t>上海衡颐资产管理有限公司</t>
  </si>
  <si>
    <t>周东东</t>
  </si>
  <si>
    <t>张旭东</t>
  </si>
  <si>
    <t>上海特夫私募基金管理有限公司</t>
  </si>
  <si>
    <t>马文彬、王畅浩</t>
  </si>
  <si>
    <t>P1000313</t>
  </si>
  <si>
    <t>上海汇利资产管理有限公司</t>
  </si>
  <si>
    <t>邵显见</t>
  </si>
  <si>
    <t>P1016658</t>
  </si>
  <si>
    <t>深圳量道投资管理有限公司</t>
  </si>
  <si>
    <t>张凤羽</t>
  </si>
  <si>
    <t>P1071911</t>
  </si>
  <si>
    <t>海南时代共赢私募基金管理合伙企业（有限合伙）</t>
  </si>
  <si>
    <t>韩光勇</t>
  </si>
  <si>
    <t>P1010782</t>
  </si>
  <si>
    <t>上海曌文私募基金管理有限公司</t>
  </si>
  <si>
    <t>安一达</t>
  </si>
  <si>
    <t>P1009337</t>
  </si>
  <si>
    <t>上海恺俊私募基金管理有限公司</t>
  </si>
  <si>
    <t>王恺</t>
  </si>
  <si>
    <t>P1022166</t>
  </si>
  <si>
    <t>上海简文私募基金管理有限公司</t>
  </si>
  <si>
    <t>吴倩、罗毅</t>
  </si>
  <si>
    <t>罗毅、赵放</t>
  </si>
  <si>
    <t>罗毅</t>
  </si>
  <si>
    <t>P1074794</t>
  </si>
  <si>
    <t>广州凌鸿志私募证券投资基金管理有限公司</t>
  </si>
  <si>
    <t>李峻</t>
  </si>
  <si>
    <t>邹倚天</t>
  </si>
  <si>
    <t>周崧</t>
  </si>
  <si>
    <t>P1025836</t>
  </si>
  <si>
    <t>宁波平方和投资管理合伙企业（有限合伙）</t>
  </si>
  <si>
    <t>徐御之</t>
  </si>
  <si>
    <t>孙林</t>
  </si>
  <si>
    <t>P1009640</t>
  </si>
  <si>
    <t>千衍私募基金管理（上海）有限公司</t>
  </si>
  <si>
    <t>庞珏嗣、李漫雪</t>
  </si>
  <si>
    <t>P1000404</t>
  </si>
  <si>
    <t>上海申毅投资股份有限公司</t>
  </si>
  <si>
    <t>申毅</t>
  </si>
  <si>
    <t>陈泽浩、邹倚天</t>
  </si>
  <si>
    <t>P1072919</t>
  </si>
  <si>
    <t>上海半鞅私募基金管理合伙企业（有限合伙）</t>
  </si>
  <si>
    <t>王芹</t>
  </si>
  <si>
    <t>P1070101</t>
  </si>
  <si>
    <t>上海蝶威私募基金管理有限公司</t>
  </si>
  <si>
    <t>魏铭三</t>
  </si>
  <si>
    <t>郭岩、马健</t>
  </si>
  <si>
    <t>方壮熙</t>
  </si>
  <si>
    <t>P1064551</t>
  </si>
  <si>
    <t>上海玄信资产管理中心（有限合伙）</t>
  </si>
  <si>
    <t>张昱、周艳</t>
  </si>
  <si>
    <t>P1000712</t>
  </si>
  <si>
    <t>上海富善投资有限公司</t>
  </si>
  <si>
    <t>李冬昕、Yuan Yuwei</t>
  </si>
  <si>
    <t>杨正豪</t>
  </si>
  <si>
    <t>P1074464</t>
  </si>
  <si>
    <t>海南宽辅私募基金管理合伙企业（有限合伙）</t>
  </si>
  <si>
    <t>陈红青、姚德双</t>
  </si>
  <si>
    <t>郑晔鑫</t>
  </si>
  <si>
    <t>倪金晶</t>
  </si>
  <si>
    <t>P1074392</t>
  </si>
  <si>
    <t>上海锦徽私募基金管理合伙企业（有限合伙）</t>
  </si>
  <si>
    <t>李石洋、王振荣</t>
  </si>
  <si>
    <t>P1068605</t>
  </si>
  <si>
    <t>北京凯读私募基金管理有限公司</t>
  </si>
  <si>
    <t>P1061840</t>
  </si>
  <si>
    <t>茂源量化（海南）私募基金管理合伙企业（有限合伙）</t>
  </si>
  <si>
    <t>郭学文</t>
  </si>
  <si>
    <t>P1007813</t>
  </si>
  <si>
    <t>上海柔微资产管理中心(有限合伙)</t>
  </si>
  <si>
    <t>姜文哲</t>
  </si>
  <si>
    <t>P1071391</t>
  </si>
  <si>
    <t>上海无涯私募基金管理有限公司</t>
  </si>
  <si>
    <t>章高驰</t>
  </si>
  <si>
    <t>P1072386</t>
  </si>
  <si>
    <t>海南三亚香农私募基金管理有限公司</t>
  </si>
  <si>
    <t>贾敬岳</t>
  </si>
  <si>
    <t>吴星玮</t>
  </si>
  <si>
    <t>高亢</t>
  </si>
  <si>
    <t>P1073329</t>
  </si>
  <si>
    <t>亦赋私募基金管理（海南）有限公司</t>
  </si>
  <si>
    <t>罗韬</t>
  </si>
  <si>
    <t>周静怡</t>
  </si>
  <si>
    <t>蒋林浩</t>
  </si>
  <si>
    <t>P1006611</t>
  </si>
  <si>
    <t>上海中利私募基金管理有限公司</t>
  </si>
  <si>
    <t>骆佩杰</t>
  </si>
  <si>
    <t>张康</t>
  </si>
  <si>
    <t>华安证券股份有限公司</t>
  </si>
  <si>
    <t>P1073748</t>
  </si>
  <si>
    <t>宁波数法私募基金管理有限公司</t>
  </si>
  <si>
    <t>刘业鸿</t>
  </si>
  <si>
    <t>光大证券股份有限公司</t>
  </si>
  <si>
    <t>P1034708</t>
  </si>
  <si>
    <t>上海顽岩私募基金管理有限公司</t>
  </si>
  <si>
    <t>金腾</t>
  </si>
  <si>
    <t>P1060813</t>
  </si>
  <si>
    <t>上海正瀛资产管理有限公司</t>
  </si>
  <si>
    <t>曹靖康、高云翔</t>
  </si>
  <si>
    <t>P1069560</t>
  </si>
  <si>
    <t>上海东恺投资管理有限公司</t>
  </si>
  <si>
    <t>吴明义</t>
  </si>
  <si>
    <t>P1019933</t>
  </si>
  <si>
    <t>北京信弘天禾资产管理中心（有限合伙）</t>
  </si>
  <si>
    <t>章毅</t>
  </si>
  <si>
    <t>P1063130</t>
  </si>
  <si>
    <t>上海伯兄资产管理中心（有限合伙）</t>
  </si>
  <si>
    <t>盛昊天</t>
  </si>
  <si>
    <t>P1071044</t>
  </si>
  <si>
    <t>深圳市超量子私募证券基金管理有限公司</t>
  </si>
  <si>
    <t>张晓泉</t>
  </si>
  <si>
    <t>P1063294</t>
  </si>
  <si>
    <t>上海蒙玺投资管理有限公司</t>
  </si>
  <si>
    <t>李骧</t>
  </si>
  <si>
    <t>P1002934</t>
  </si>
  <si>
    <t>深圳市瀚鑫私募证券投资基金管理有限公司</t>
  </si>
  <si>
    <t>王泽原</t>
  </si>
  <si>
    <t>朱晓康</t>
  </si>
  <si>
    <t>P1021611</t>
  </si>
  <si>
    <t>广州守正用奇私募基金管理有限公司</t>
  </si>
  <si>
    <t>龙俊炜</t>
  </si>
  <si>
    <t>P1071301</t>
  </si>
  <si>
    <t>海南正仁量化私募基金管理有限公司</t>
  </si>
  <si>
    <t>刘旭晖</t>
  </si>
  <si>
    <t>陈星宇</t>
  </si>
  <si>
    <t>史力丰</t>
  </si>
  <si>
    <t>P1031904</t>
  </si>
  <si>
    <t>铸锋资产管理（北京）有限公司</t>
  </si>
  <si>
    <t>陈智琦</t>
  </si>
  <si>
    <t>王芹、周东</t>
  </si>
  <si>
    <t>聂守华、贺杰</t>
  </si>
  <si>
    <t>聂守华、 贺杰</t>
  </si>
  <si>
    <t>马飞、王恺</t>
  </si>
  <si>
    <t>P1004150</t>
  </si>
  <si>
    <t>上海明汯投资管理有限公司</t>
  </si>
  <si>
    <t>裘慧明、解环宇</t>
  </si>
  <si>
    <t>诸康平</t>
  </si>
  <si>
    <t>P1072730</t>
  </si>
  <si>
    <t>上海橡红私募基金管理有限公司</t>
  </si>
  <si>
    <t>覃波</t>
  </si>
  <si>
    <t>P1068580</t>
  </si>
  <si>
    <t>浙江量盈投资管理有限公司</t>
  </si>
  <si>
    <t>丁鹏</t>
  </si>
  <si>
    <t>P1023120</t>
  </si>
  <si>
    <t>厦门博孚利资产管理有限公司</t>
  </si>
  <si>
    <t>陈家本</t>
  </si>
  <si>
    <t>P1069411</t>
  </si>
  <si>
    <t>成都细水资产管理有限公司</t>
  </si>
  <si>
    <t>王宏渊</t>
  </si>
  <si>
    <t>P1021817</t>
  </si>
  <si>
    <t>江苏常行投资管理有限公司</t>
  </si>
  <si>
    <t>黄凯</t>
  </si>
  <si>
    <t>P1074664</t>
  </si>
  <si>
    <t>上海积沐私募基金管理有限公司</t>
  </si>
  <si>
    <t>周越</t>
  </si>
  <si>
    <t>P1033450</t>
  </si>
  <si>
    <t>上海鸣熙资产管理有限公司</t>
  </si>
  <si>
    <t>张祥方</t>
  </si>
  <si>
    <t>P1074977</t>
  </si>
  <si>
    <t>上海量智私募基金管理有限公司</t>
  </si>
  <si>
    <t>章位福</t>
  </si>
  <si>
    <t>P1015392</t>
  </si>
  <si>
    <t>上海洛书投资管理有限公司</t>
  </si>
  <si>
    <t>谢冬</t>
  </si>
  <si>
    <t>周艺璇</t>
  </si>
  <si>
    <t>P1005606</t>
  </si>
  <si>
    <t>深圳君宜私募证券基金管理有限公司</t>
  </si>
  <si>
    <t>李佳宁</t>
  </si>
  <si>
    <t>毛妤婷</t>
  </si>
  <si>
    <t>周庭佐</t>
  </si>
  <si>
    <t>全天候私募证券基金投资管理（珠海）合伙企业（有限合伙）</t>
  </si>
  <si>
    <t>申万宏源证券有限公司</t>
  </si>
  <si>
    <t>P1009064</t>
  </si>
  <si>
    <t>上海磐耀资产管理有限公司</t>
  </si>
  <si>
    <t>孙智超</t>
  </si>
  <si>
    <t>P1011297</t>
  </si>
  <si>
    <t>上海兆天投资管理有限公司</t>
  </si>
  <si>
    <t>郑奇威</t>
  </si>
  <si>
    <t>陈京伟</t>
  </si>
  <si>
    <t>P1013250</t>
  </si>
  <si>
    <t>上海龙全投资管理有限公司</t>
  </si>
  <si>
    <t>李龙全</t>
  </si>
  <si>
    <t>国金证券股份有限公司</t>
  </si>
  <si>
    <t>P1014376</t>
  </si>
  <si>
    <t>上海睿郡资产管理有限公司</t>
  </si>
  <si>
    <t>董承非</t>
  </si>
  <si>
    <t>徐恒、方昱</t>
  </si>
  <si>
    <t>P1061199</t>
  </si>
  <si>
    <t>深圳国源信达资本管理有限公司</t>
  </si>
  <si>
    <t>武晨</t>
  </si>
  <si>
    <t>归江</t>
  </si>
  <si>
    <t>P1032800</t>
  </si>
  <si>
    <t>上海通怡投资管理有限公司</t>
  </si>
  <si>
    <t>储贻波</t>
  </si>
  <si>
    <t>P1071517</t>
  </si>
  <si>
    <t>深圳奇盛基金管理有限公司</t>
  </si>
  <si>
    <t>付伟琦</t>
  </si>
  <si>
    <t>姚跃</t>
  </si>
  <si>
    <t>P1011260</t>
  </si>
  <si>
    <t>深圳盈舞私募证券投资基金管理有限公司</t>
  </si>
  <si>
    <t>邵阳</t>
  </si>
  <si>
    <t>中泰证券股份有限公司</t>
  </si>
  <si>
    <t>P1008509</t>
  </si>
  <si>
    <t>上海天戈投资管理有限公司</t>
  </si>
  <si>
    <t>程大龙</t>
  </si>
  <si>
    <t>P1020094</t>
  </si>
  <si>
    <t>宁波和顿投资管理有限公司</t>
  </si>
  <si>
    <t>P1034351</t>
  </si>
  <si>
    <t>北京星鹏联海私募基金管理有限公司</t>
  </si>
  <si>
    <t>P1069532</t>
  </si>
  <si>
    <t>宁波罗维盈安投资管理有限公司</t>
  </si>
  <si>
    <t>P1068514</t>
  </si>
  <si>
    <t>元胜投资管理（上海）有限公司</t>
  </si>
  <si>
    <t>绵烁ETF套利1号私募证券投资基金</t>
    <phoneticPr fontId="2" type="noConversion"/>
  </si>
  <si>
    <t>A</t>
    <phoneticPr fontId="2" type="noConversion"/>
  </si>
  <si>
    <t>臻选远识价值优选私募证券投资基金</t>
    <phoneticPr fontId="2" type="noConversion"/>
  </si>
  <si>
    <t>臻选Molly私募证券投资基金</t>
    <phoneticPr fontId="2" type="noConversion"/>
  </si>
  <si>
    <t>VX496B</t>
    <phoneticPr fontId="2" type="noConversion"/>
  </si>
  <si>
    <t>A-</t>
    <phoneticPr fontId="2" type="noConversion"/>
  </si>
  <si>
    <t>SABX12</t>
    <phoneticPr fontId="2" type="noConversion"/>
  </si>
  <si>
    <t>SAJX68</t>
    <phoneticPr fontId="2" type="noConversion"/>
  </si>
  <si>
    <t>创世纪顾锝群英3号私募证券投资基金</t>
    <phoneticPr fontId="2" type="noConversion"/>
  </si>
  <si>
    <t>ALA25A</t>
    <phoneticPr fontId="2" type="noConversion"/>
  </si>
  <si>
    <t>ANM92B</t>
    <phoneticPr fontId="2" type="noConversion"/>
  </si>
  <si>
    <t>ANM92A</t>
    <phoneticPr fontId="2" type="noConversion"/>
  </si>
  <si>
    <t>ANR59B</t>
    <phoneticPr fontId="2" type="noConversion"/>
  </si>
  <si>
    <t>APF83B</t>
    <phoneticPr fontId="2" type="noConversion"/>
  </si>
  <si>
    <t>AQS85B</t>
    <phoneticPr fontId="2" type="noConversion"/>
  </si>
  <si>
    <t>Z</t>
    <phoneticPr fontId="2" type="noConversion"/>
  </si>
  <si>
    <t>从20240308策略运作起始</t>
    <phoneticPr fontId="2" type="noConversion"/>
  </si>
  <si>
    <t>AHV52B</t>
    <phoneticPr fontId="2" type="noConversion"/>
  </si>
  <si>
    <t>停发，20250307</t>
    <phoneticPr fontId="2" type="noConversion"/>
  </si>
  <si>
    <t>停发，20251114</t>
    <phoneticPr fontId="2" type="noConversion"/>
  </si>
  <si>
    <t>停发，20250808</t>
    <phoneticPr fontId="2" type="noConversion"/>
  </si>
  <si>
    <t>从20240802运作起始日</t>
    <phoneticPr fontId="2" type="noConversion"/>
  </si>
  <si>
    <t>东恺中证A500锐私募证券投资基金</t>
    <phoneticPr fontId="2" type="noConversion"/>
  </si>
  <si>
    <t>从20250425运作起始日</t>
    <phoneticPr fontId="2" type="noConversion"/>
  </si>
  <si>
    <t>停发,20250711</t>
    <phoneticPr fontId="2" type="noConversion"/>
  </si>
  <si>
    <t>从20250613运作起始日</t>
    <phoneticPr fontId="2" type="noConversion"/>
  </si>
  <si>
    <t>AXP68C</t>
    <phoneticPr fontId="2" type="noConversion"/>
  </si>
  <si>
    <t>铸锋承影11号私募证券投资基金</t>
    <phoneticPr fontId="2" type="noConversion"/>
  </si>
  <si>
    <t>从20250523运作起始日</t>
    <phoneticPr fontId="2" type="noConversion"/>
  </si>
  <si>
    <t>橡红瀚行1号私募证券投资基金</t>
    <phoneticPr fontId="2" type="noConversion"/>
  </si>
  <si>
    <t>BKP40B</t>
    <phoneticPr fontId="2" type="noConversion"/>
  </si>
  <si>
    <t>SBKP40</t>
    <phoneticPr fontId="2" type="noConversion"/>
  </si>
  <si>
    <t>从20180629运作起始日</t>
    <phoneticPr fontId="2" type="noConversion"/>
  </si>
  <si>
    <t>博弈淘股吧5号私募证券投资基金</t>
    <phoneticPr fontId="2" type="noConversion"/>
  </si>
  <si>
    <t>黑翼市场中性3号私募证券投资基金</t>
    <phoneticPr fontId="2" type="noConversion"/>
  </si>
  <si>
    <t>从20230512运作起始日</t>
    <phoneticPr fontId="2" type="noConversion"/>
  </si>
  <si>
    <t>停发，20250228</t>
    <phoneticPr fontId="2" type="noConversion"/>
  </si>
  <si>
    <t>停发，20250704</t>
    <phoneticPr fontId="2" type="noConversion"/>
  </si>
  <si>
    <t>LJ801B</t>
    <phoneticPr fontId="2" type="noConversion"/>
  </si>
  <si>
    <t>停发，20250801</t>
    <phoneticPr fontId="2" type="noConversion"/>
  </si>
  <si>
    <t>停发，20250221</t>
    <phoneticPr fontId="2" type="noConversion"/>
  </si>
  <si>
    <t>停发，20251231</t>
    <phoneticPr fontId="2" type="noConversion"/>
  </si>
  <si>
    <t>*不需要</t>
    <phoneticPr fontId="2" type="noConversion"/>
  </si>
  <si>
    <t>停发，20250207 *改名：联海量选天枢1号私募证券投资基金</t>
    <phoneticPr fontId="2" type="noConversion"/>
  </si>
  <si>
    <t>从20240315运作起始日</t>
    <phoneticPr fontId="2" type="noConversion"/>
  </si>
  <si>
    <t>*A类和总份额都发了，用总份额的即可</t>
    <phoneticPr fontId="2" type="noConversion"/>
  </si>
  <si>
    <t>从20250425开始</t>
    <phoneticPr fontId="2" type="noConversion"/>
  </si>
  <si>
    <t>停发，20260203</t>
    <phoneticPr fontId="2" type="noConversion"/>
  </si>
  <si>
    <t>从20250523开始</t>
    <phoneticPr fontId="2" type="noConversion"/>
  </si>
  <si>
    <t>从20250704开始</t>
    <phoneticPr fontId="2" type="noConversion"/>
  </si>
  <si>
    <t>停发，20250213 从20250829运作起始日</t>
    <phoneticPr fontId="2" type="noConversion"/>
  </si>
  <si>
    <t>亦赋量选2号私募证券投资基金</t>
    <phoneticPr fontId="2" type="noConversion"/>
  </si>
  <si>
    <t>上海宽德华富3号私募证券投资基金</t>
    <phoneticPr fontId="2" type="noConversion"/>
  </si>
  <si>
    <t>SGY248</t>
    <phoneticPr fontId="2" type="noConversion"/>
  </si>
  <si>
    <t>JB320B</t>
    <phoneticPr fontId="2" type="noConversion"/>
  </si>
  <si>
    <t>从20240202运作起始日, 使用JB320B为主</t>
    <phoneticPr fontId="2" type="noConversion"/>
  </si>
  <si>
    <t>开思沪港深优选私募证券投资基金</t>
    <phoneticPr fontId="2" type="noConversion"/>
  </si>
  <si>
    <t>SLP048</t>
    <phoneticPr fontId="2" type="noConversion"/>
  </si>
  <si>
    <t>从20231208运作起始日</t>
    <phoneticPr fontId="2" type="noConversion"/>
  </si>
  <si>
    <t>SNG210</t>
    <phoneticPr fontId="2" type="noConversion"/>
  </si>
  <si>
    <t>停发，20260116 从20250328运作起始日</t>
    <phoneticPr fontId="2" type="noConversion"/>
  </si>
  <si>
    <t>停发，20250207 *改名：联海天王星8号私募证券投资基金</t>
    <phoneticPr fontId="2" type="noConversion"/>
  </si>
  <si>
    <t>从20230210运作起始日</t>
    <phoneticPr fontId="2" type="noConversion"/>
  </si>
  <si>
    <t>国源不争1号私募证券投资基金</t>
    <phoneticPr fontId="2" type="noConversion"/>
  </si>
  <si>
    <t>从20220701运作起始日</t>
    <phoneticPr fontId="2" type="noConversion"/>
  </si>
  <si>
    <t>停发，20251017</t>
    <phoneticPr fontId="2" type="noConversion"/>
  </si>
  <si>
    <t>停发，20250207</t>
    <phoneticPr fontId="2" type="noConversion"/>
  </si>
  <si>
    <t>从20240920运作起始日</t>
    <phoneticPr fontId="2" type="noConversion"/>
  </si>
  <si>
    <t>从20230531运作起始日</t>
    <phoneticPr fontId="2" type="noConversion"/>
  </si>
  <si>
    <t>停发，20260206</t>
    <phoneticPr fontId="2" type="noConversion"/>
  </si>
  <si>
    <t>极量龙泉私募证券投资基金</t>
    <phoneticPr fontId="2" type="noConversion"/>
  </si>
  <si>
    <t>从20250808运作起始日</t>
    <phoneticPr fontId="2" type="noConversion"/>
  </si>
  <si>
    <t>兆天七彩云1号私募证券投资基金</t>
    <phoneticPr fontId="2" type="noConversion"/>
  </si>
  <si>
    <t>停发，20250124</t>
    <phoneticPr fontId="2" type="noConversion"/>
  </si>
  <si>
    <t>瀚鑫泰安十一号私募证券投资基金</t>
    <phoneticPr fontId="2" type="noConversion"/>
  </si>
  <si>
    <t>从20240226运作起始日</t>
    <phoneticPr fontId="2" type="noConversion"/>
  </si>
  <si>
    <t>从20220107运作起始日</t>
    <phoneticPr fontId="2" type="noConversion"/>
  </si>
  <si>
    <t>停发，20250822</t>
    <phoneticPr fontId="2" type="noConversion"/>
  </si>
  <si>
    <t>停发，20251205 从20240524运作起始日</t>
    <phoneticPr fontId="2" type="noConversion"/>
  </si>
  <si>
    <t>从20241129运作起始日</t>
    <phoneticPr fontId="2" type="noConversion"/>
  </si>
  <si>
    <t>顺义成启航1号私募证券投资基金</t>
    <phoneticPr fontId="2" type="noConversion"/>
  </si>
  <si>
    <t>SZN706</t>
    <phoneticPr fontId="2" type="noConversion"/>
  </si>
  <si>
    <t>从20240403运作起始日</t>
    <phoneticPr fontId="2" type="noConversion"/>
  </si>
  <si>
    <t>从20250919运作起始日 *改名：玄信星选中性1号私募证券投资基金</t>
    <phoneticPr fontId="2" type="noConversion"/>
  </si>
  <si>
    <t>从20220211运作起始日</t>
    <phoneticPr fontId="2" type="noConversion"/>
  </si>
  <si>
    <t>从20241226运作起始日</t>
    <phoneticPr fontId="2" type="noConversion"/>
  </si>
  <si>
    <t>从20220304运作起始日</t>
    <phoneticPr fontId="2" type="noConversion"/>
  </si>
  <si>
    <t>半鞅量化精选私募证券投资基金</t>
    <phoneticPr fontId="2" type="noConversion"/>
  </si>
  <si>
    <t>停发，20260116 从20241129运作起始日</t>
    <phoneticPr fontId="2" type="noConversion"/>
  </si>
  <si>
    <t>从20231103运作起始日</t>
    <phoneticPr fontId="2" type="noConversion"/>
  </si>
  <si>
    <t>停发，20250509 不需要</t>
    <phoneticPr fontId="2" type="noConversion"/>
  </si>
  <si>
    <t>停发，20250806 从20240731运作起始日</t>
    <phoneticPr fontId="2" type="noConversion"/>
  </si>
  <si>
    <t>上海宽德飞虹5号私募证券投资基金</t>
    <phoneticPr fontId="2" type="noConversion"/>
  </si>
  <si>
    <t>从20230113运作起始日</t>
    <phoneticPr fontId="2" type="noConversion"/>
  </si>
  <si>
    <t>20250613开始使用数据</t>
    <phoneticPr fontId="2" type="noConversion"/>
  </si>
  <si>
    <t>半鞅CTA稳健1号私募证券投资基金</t>
    <phoneticPr fontId="2" type="noConversion"/>
  </si>
  <si>
    <t>从20250110才有B类</t>
    <phoneticPr fontId="2" type="noConversion"/>
  </si>
  <si>
    <t>奇盛价值前瞻7号私募证券投资基金</t>
    <phoneticPr fontId="2" type="noConversion"/>
  </si>
  <si>
    <t>停发，20260123</t>
    <phoneticPr fontId="2" type="noConversion"/>
  </si>
  <si>
    <t>无涯中证500指数增强1号私募证券投资基金</t>
    <phoneticPr fontId="2" type="noConversion"/>
  </si>
  <si>
    <t>从20230901运作起始日</t>
    <phoneticPr fontId="2" type="noConversion"/>
  </si>
  <si>
    <t>停发，20251212</t>
    <phoneticPr fontId="2" type="noConversion"/>
  </si>
  <si>
    <t>Code_Name</t>
    <phoneticPr fontId="2" type="noConversion"/>
  </si>
  <si>
    <t>Code_Id</t>
    <phoneticPr fontId="2" type="noConversion"/>
  </si>
  <si>
    <t>*待补充20221202之前的数据</t>
    <phoneticPr fontId="2" type="noConversion"/>
  </si>
  <si>
    <t>停发，20250829</t>
    <phoneticPr fontId="2" type="noConversion"/>
  </si>
  <si>
    <t>*成立日为20220411，但邮件最初净值日期为20220408</t>
    <phoneticPr fontId="2" type="noConversion"/>
  </si>
  <si>
    <t>停发，20260306 从20241227运作起始日 不需要</t>
    <phoneticPr fontId="2" type="noConversion"/>
  </si>
  <si>
    <t>全天候新雨私募证券投资基金</t>
    <phoneticPr fontId="2" type="noConversion"/>
  </si>
  <si>
    <t>策略标签-二级</t>
    <phoneticPr fontId="2" type="noConversion"/>
  </si>
  <si>
    <t>策略标签-三级</t>
    <phoneticPr fontId="2" type="noConversion"/>
  </si>
  <si>
    <t>对外展示</t>
    <phoneticPr fontId="2" type="noConversion"/>
  </si>
  <si>
    <t>Start_date</t>
    <phoneticPr fontId="2" type="noConversion"/>
  </si>
  <si>
    <t>国债期货</t>
  </si>
  <si>
    <t>债券</t>
  </si>
  <si>
    <t>SAWD21</t>
  </si>
  <si>
    <t>AWD21B</t>
  </si>
  <si>
    <t>积沐稳健1号私募证券投资基金</t>
  </si>
  <si>
    <t>SAAV43</t>
  </si>
  <si>
    <t>AAV43B</t>
  </si>
  <si>
    <t>宁水国债宝2号一期私募证券投资基金</t>
  </si>
  <si>
    <t>P1066639</t>
  </si>
  <si>
    <t>厦门宁水私募基金管理有限公司</t>
  </si>
  <si>
    <t>SABW07</t>
  </si>
  <si>
    <t>ABW07B</t>
  </si>
  <si>
    <t>希瓦活力私募证券投资基金</t>
  </si>
  <si>
    <t>P1008160</t>
  </si>
  <si>
    <t>海南希瓦私募基金管理有限责任公司</t>
  </si>
  <si>
    <t>陈觉平、朱志伟</t>
  </si>
  <si>
    <t>SAYS34</t>
  </si>
  <si>
    <t>AYS34B</t>
  </si>
  <si>
    <t>乾上泉CTA风起一号私募证券投资基金</t>
  </si>
  <si>
    <t>P1071858</t>
  </si>
  <si>
    <t>上海乾上泉私募基金管理有限公司</t>
  </si>
  <si>
    <t>董浩亮、杨波</t>
  </si>
  <si>
    <t>SVQ366</t>
  </si>
  <si>
    <t>VQ366A</t>
  </si>
  <si>
    <t>岚湖丰泽3号私募证券投资基金</t>
  </si>
  <si>
    <t>P1072875</t>
  </si>
  <si>
    <t>海南岚湖私募基金管理有限公司</t>
  </si>
  <si>
    <t>李恒、苏尚才</t>
  </si>
  <si>
    <t>SVR408</t>
  </si>
  <si>
    <t>VR408A</t>
  </si>
  <si>
    <t>深高稳进8号私募证券投资基金</t>
  </si>
  <si>
    <t>P1072589</t>
  </si>
  <si>
    <t>深圳深高私募证券基金管理有限公司</t>
  </si>
  <si>
    <t>SXL686</t>
  </si>
  <si>
    <t>XL686B</t>
  </si>
  <si>
    <t>陆生生量化中性进取2号私募证券投资基金</t>
  </si>
  <si>
    <t>P1072424</t>
  </si>
  <si>
    <t>陆生生私募基金管理（青岛）有限公司</t>
  </si>
  <si>
    <t>SEN020</t>
  </si>
  <si>
    <t>引擎资本中国机会高收益债券私募基金1号</t>
  </si>
  <si>
    <t>P1065828</t>
  </si>
  <si>
    <t>北京东方引擎投资管理有限公司</t>
  </si>
  <si>
    <t>SJT293</t>
  </si>
  <si>
    <t>乐天9号伊洛私募证券投资基金</t>
  </si>
  <si>
    <t>P1002417</t>
  </si>
  <si>
    <t>上海伊洛私募基金管理有限公司</t>
  </si>
  <si>
    <t>SBLB67</t>
  </si>
  <si>
    <t>顽岩量化选股专享9号私募证券投资基金</t>
  </si>
  <si>
    <t>SAHQ01</t>
  </si>
  <si>
    <t>AHQ01A</t>
  </si>
  <si>
    <t>珠池新众享私募证券投资基金</t>
  </si>
  <si>
    <t>P1014451</t>
  </si>
  <si>
    <t>上海珠池资产管理有限公司</t>
  </si>
  <si>
    <t>SB0586</t>
  </si>
  <si>
    <t>B0586B</t>
  </si>
  <si>
    <t>世纪前沿广胜量化优选2号a期私募证券投资基金</t>
  </si>
  <si>
    <t>P1068951</t>
  </si>
  <si>
    <t>海南世纪前沿私募基金管理有限公司</t>
  </si>
  <si>
    <t>SAXN65</t>
  </si>
  <si>
    <t>AXN65B</t>
  </si>
  <si>
    <t>远和可旺1号私募证券投资基金</t>
  </si>
  <si>
    <t>P1074945</t>
  </si>
  <si>
    <t>杭州远和私募基金有限公司</t>
  </si>
  <si>
    <t>彭旺</t>
  </si>
  <si>
    <t>XV406B</t>
  </si>
  <si>
    <t>SBAS23</t>
  </si>
  <si>
    <t>BAS23A</t>
  </si>
  <si>
    <t>熠道涌泉1号私募证券投资基金</t>
  </si>
  <si>
    <t>P1064131</t>
  </si>
  <si>
    <t>杭州熠道资产管理有限公司</t>
  </si>
  <si>
    <t>江君</t>
  </si>
  <si>
    <t>SBPX61</t>
  </si>
  <si>
    <t>BPX61B</t>
  </si>
  <si>
    <t>平方和鼎盛中证1000指数增强126号</t>
  </si>
  <si>
    <t>SAWV26</t>
  </si>
  <si>
    <t>细水居30号私募证券投资基金</t>
  </si>
  <si>
    <t>长江证券股份有限公司</t>
  </si>
  <si>
    <t>杠杆</t>
  </si>
  <si>
    <t>从20250516运作起始日</t>
    <phoneticPr fontId="2" type="noConversion"/>
  </si>
  <si>
    <t>从20250430运作起始日</t>
    <phoneticPr fontId="2" type="noConversion"/>
  </si>
  <si>
    <t>从20230602运作起始日</t>
    <phoneticPr fontId="2" type="noConversion"/>
  </si>
  <si>
    <t>*20260213之前只有每月最后交易日的数据，无周频数据</t>
    <phoneticPr fontId="2" type="noConversion"/>
  </si>
  <si>
    <t>复合策略</t>
  </si>
  <si>
    <t>量化择时、套利</t>
  </si>
  <si>
    <t>SAZL72</t>
  </si>
  <si>
    <t>AZL72B</t>
  </si>
  <si>
    <t>正仁择时量化选股四期私募证券投资基金</t>
  </si>
  <si>
    <t>SAZK21</t>
  </si>
  <si>
    <t>正仁股票择时三期私募证券投资基金</t>
  </si>
  <si>
    <t>SATG85</t>
  </si>
  <si>
    <t>九招怒放一号私募证券投资基金</t>
  </si>
  <si>
    <t>P1074391</t>
  </si>
  <si>
    <t>武汉九招私募基金管理有限公司</t>
  </si>
  <si>
    <t>SAAY94</t>
  </si>
  <si>
    <t>九招筑金多策略稳健1号私募证券投资基金</t>
  </si>
  <si>
    <t>SGA724</t>
  </si>
  <si>
    <t>GA724B</t>
  </si>
  <si>
    <t>致邃投资-致盈1号私募证券投资基金</t>
  </si>
  <si>
    <t>P1063212</t>
  </si>
  <si>
    <t>上海致邃投资管理有限公司</t>
  </si>
  <si>
    <t>STK200</t>
  </si>
  <si>
    <t>九招真格量化商品套利一号私募证券投资基金</t>
  </si>
  <si>
    <t>TK200B</t>
  </si>
  <si>
    <t>SBDJ04</t>
  </si>
  <si>
    <t>BDJ04B</t>
  </si>
  <si>
    <t>奇盾量化优选1号私募证券投资基金</t>
  </si>
  <si>
    <t>0-100</t>
  </si>
  <si>
    <t>*20250912之前的B类份额净值为0</t>
    <phoneticPr fontId="2" type="noConversion"/>
  </si>
  <si>
    <t>*20250331之后才有的B类份额</t>
    <phoneticPr fontId="2" type="noConversion"/>
  </si>
  <si>
    <t>*20251219之前的净值没发</t>
    <phoneticPr fontId="2" type="noConversion"/>
  </si>
  <si>
    <t>*20240712之前的净值没发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</si>
</sst>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yyyy/m/d;@"/>
    <numFmt numFmtId="177" formatCode="yyyy\-mm\-dd;@"/>
  </numFmts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666666"/>
      <name val="微软雅黑"/>
      <family val="2"/>
      <charset val="134"/>
    </font>
    <font>
      <sz val="10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176" fontId="4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0" fontId="4" fillId="0" borderId="0" xfId="0" applyFont="1">
      <alignment vertical="center"/>
    </xf>
    <xf numFmtId="177" fontId="4" fillId="0" borderId="1" xfId="0" applyNumberFormat="1" applyFont="1" applyBorder="1">
      <alignment vertical="center"/>
    </xf>
    <xf numFmtId="0" fontId="4" fillId="0" borderId="1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176" fontId="4" fillId="0" borderId="0" xfId="0" applyNumberFormat="1" applyFont="1">
      <alignment vertical="center"/>
    </xf>
    <xf numFmtId="0" fontId="4" fillId="3" borderId="1" xfId="0" applyFont="1" applyFill="1" applyBorder="1">
      <alignment vertical="center"/>
    </xf>
    <xf numFmtId="177" fontId="4" fillId="3" borderId="1" xfId="0" applyNumberFormat="1" applyFont="1" applyFill="1" applyBorder="1">
      <alignment vertical="center"/>
    </xf>
    <xf numFmtId="0" fontId="4" fillId="3" borderId="1" xfId="0" applyFont="1" applyFill="1" applyBorder="1" applyAlignment="1">
      <alignment horizontal="right" vertical="center"/>
    </xf>
    <xf numFmtId="0" fontId="4" fillId="4" borderId="1" xfId="0" applyFont="1" applyFill="1" applyBorder="1">
      <alignment vertical="center"/>
    </xf>
    <xf numFmtId="177" fontId="4" fillId="4" borderId="1" xfId="0" applyNumberFormat="1" applyFont="1" applyFill="1" applyBorder="1">
      <alignment vertical="center"/>
    </xf>
  </cellXfs>
  <cellStyles count="1">
    <cellStyle name="常规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277"/>
  <sheetViews>
    <sheetView tabSelected="1" topLeftCell="A232" zoomScaleNormal="100" workbookViewId="0">
      <selection activeCell="A266" sqref="A266"/>
    </sheetView>
  </sheetViews>
  <sheetFormatPr defaultColWidth="10.625" defaultRowHeight="15" customHeight="1" x14ac:dyDescent="0.15"/>
  <cols>
    <col min="1" max="3" width="15.625" style="8" customWidth="1"/>
    <col min="4" max="4" width="10.625" style="8" customWidth="1"/>
    <col min="5" max="6" width="10.625" style="8"/>
    <col min="7" max="7" width="10.625" style="8" customWidth="1"/>
    <col min="8" max="8" width="45.625" style="8" customWidth="1"/>
    <col min="9" max="9" width="10.625" style="8"/>
    <col min="10" max="10" width="10.625" style="8" customWidth="1"/>
    <col min="11" max="11" width="45.625" style="8" customWidth="1"/>
    <col min="12" max="12" width="10.625" style="8" customWidth="1"/>
    <col min="13" max="13" width="30.625" style="8" customWidth="1"/>
    <col min="14" max="15" width="10.625" style="12"/>
    <col min="16" max="16" width="10.625" style="11" customWidth="1"/>
    <col min="17" max="17" width="10.625" style="8"/>
    <col min="18" max="18" width="50.625" style="8" customWidth="1"/>
    <col min="19" max="16384" width="10.625" style="8"/>
  </cols>
  <sheetData>
    <row r="1" spans="1:22" ht="15" customHeight="1" x14ac:dyDescent="0.15">
      <c r="A1" s="5" t="s">
        <v>368</v>
      </c>
      <c r="B1" s="5" t="s">
        <v>1243</v>
      </c>
      <c r="C1" s="5" t="s">
        <v>0</v>
      </c>
      <c r="D1" s="5" t="s">
        <v>1245</v>
      </c>
      <c r="E1" s="5" t="s">
        <v>369</v>
      </c>
      <c r="F1" s="5" t="s">
        <v>370</v>
      </c>
      <c r="G1" s="5" t="s">
        <v>1</v>
      </c>
      <c r="H1" s="5" t="s">
        <v>371</v>
      </c>
      <c r="I1" s="5" t="s">
        <v>372</v>
      </c>
      <c r="J1" s="5" t="s">
        <v>1149</v>
      </c>
      <c r="K1" s="5" t="s">
        <v>2</v>
      </c>
      <c r="L1" s="5" t="s">
        <v>3</v>
      </c>
      <c r="M1" s="5" t="s">
        <v>4</v>
      </c>
      <c r="N1" s="6" t="s">
        <v>373</v>
      </c>
      <c r="O1" s="6" t="s">
        <v>5</v>
      </c>
      <c r="P1" s="5" t="s">
        <v>374</v>
      </c>
      <c r="Q1" s="5" t="s">
        <v>6</v>
      </c>
      <c r="R1" s="5" t="s">
        <v>7</v>
      </c>
      <c r="S1" s="7" t="s">
        <v>1244</v>
      </c>
      <c r="T1" s="16" t="s">
        <v>1237</v>
      </c>
      <c r="U1" s="16" t="s">
        <v>1236</v>
      </c>
      <c r="V1" s="16" t="s">
        <v>1246</v>
      </c>
    </row>
    <row r="2" spans="1:22" ht="15" customHeight="1" x14ac:dyDescent="0.15">
      <c r="A2" s="5" t="s">
        <v>444</v>
      </c>
      <c r="B2" s="5" t="s">
        <v>451</v>
      </c>
      <c r="C2" s="5" t="s">
        <v>9</v>
      </c>
      <c r="D2" s="5" t="s">
        <v>10</v>
      </c>
      <c r="E2" s="5" t="s">
        <v>508</v>
      </c>
      <c r="F2" s="5" t="s">
        <v>654</v>
      </c>
      <c r="G2" s="5"/>
      <c r="H2" s="5" t="s">
        <v>1134</v>
      </c>
      <c r="I2" s="5" t="s">
        <v>47</v>
      </c>
      <c r="J2" s="5" t="s">
        <v>912</v>
      </c>
      <c r="K2" s="5" t="s">
        <v>913</v>
      </c>
      <c r="L2" s="5" t="s">
        <v>397</v>
      </c>
      <c r="M2" s="5" t="s">
        <v>398</v>
      </c>
      <c r="N2" s="9">
        <v>45862</v>
      </c>
      <c r="O2" s="9" t="s">
        <v>399</v>
      </c>
      <c r="P2" s="10"/>
      <c r="Q2" s="5" t="s">
        <v>1135</v>
      </c>
      <c r="R2" s="5"/>
      <c r="S2" s="5"/>
      <c r="T2" s="16" t="str">
        <f>IF(F2="",E2,F2)</f>
        <v>BBZ18A</v>
      </c>
      <c r="U2" s="16" t="str">
        <f>H2&amp;I2</f>
        <v>绵烁ETF套利1号私募证券投资基金A类</v>
      </c>
      <c r="V2" s="17">
        <f>IF(O2="",N2,O2)</f>
        <v>45862</v>
      </c>
    </row>
    <row r="3" spans="1:22" ht="15" customHeight="1" x14ac:dyDescent="0.15">
      <c r="A3" s="5" t="s">
        <v>445</v>
      </c>
      <c r="B3" s="5" t="s">
        <v>452</v>
      </c>
      <c r="C3" s="5"/>
      <c r="D3" s="5" t="s">
        <v>506</v>
      </c>
      <c r="E3" s="5" t="s">
        <v>509</v>
      </c>
      <c r="F3" s="5" t="s">
        <v>1138</v>
      </c>
      <c r="G3" s="5"/>
      <c r="H3" s="5" t="s">
        <v>1137</v>
      </c>
      <c r="I3" s="5" t="s">
        <v>82</v>
      </c>
      <c r="J3" s="5" t="s">
        <v>93</v>
      </c>
      <c r="K3" s="5" t="s">
        <v>914</v>
      </c>
      <c r="L3" s="5" t="s">
        <v>95</v>
      </c>
      <c r="M3" s="5" t="s">
        <v>400</v>
      </c>
      <c r="N3" s="9">
        <v>44743</v>
      </c>
      <c r="O3" s="9">
        <v>45744</v>
      </c>
      <c r="P3" s="10"/>
      <c r="Q3" s="5" t="s">
        <v>1139</v>
      </c>
      <c r="R3" s="5" t="s">
        <v>1224</v>
      </c>
      <c r="S3" s="5"/>
      <c r="T3" s="16" t="str">
        <f>IF(F3="",E3,F3)</f>
        <v>VX496B</v>
      </c>
      <c r="U3" s="16" t="str">
        <f>H3&amp;I3</f>
        <v>臻选Molly私募证券投资基金B类</v>
      </c>
      <c r="V3" s="17">
        <f>IF(O3="",N3,O3)</f>
        <v>45744</v>
      </c>
    </row>
    <row r="4" spans="1:22" ht="15" customHeight="1" x14ac:dyDescent="0.15">
      <c r="A4" s="5" t="s">
        <v>445</v>
      </c>
      <c r="B4" s="5" t="s">
        <v>453</v>
      </c>
      <c r="C4" s="5"/>
      <c r="D4" s="5" t="s">
        <v>506</v>
      </c>
      <c r="E4" s="5" t="s">
        <v>510</v>
      </c>
      <c r="F4" s="5" t="s">
        <v>655</v>
      </c>
      <c r="G4" s="5"/>
      <c r="H4" s="5" t="s">
        <v>1136</v>
      </c>
      <c r="I4" s="5" t="s">
        <v>82</v>
      </c>
      <c r="J4" s="5" t="s">
        <v>93</v>
      </c>
      <c r="K4" s="5" t="s">
        <v>914</v>
      </c>
      <c r="L4" s="5" t="s">
        <v>915</v>
      </c>
      <c r="M4" s="5" t="s">
        <v>400</v>
      </c>
      <c r="N4" s="9">
        <v>44635</v>
      </c>
      <c r="O4" s="9">
        <v>45292</v>
      </c>
      <c r="P4" s="10"/>
      <c r="Q4" s="5" t="s">
        <v>1139</v>
      </c>
      <c r="R4" s="5"/>
      <c r="S4" s="5"/>
      <c r="T4" s="16" t="str">
        <f>IF(F4="",E4,F4)</f>
        <v>VB724B</v>
      </c>
      <c r="U4" s="16" t="str">
        <f>H4&amp;I4</f>
        <v>臻选远识价值优选私募证券投资基金B类</v>
      </c>
      <c r="V4" s="17">
        <f>IF(O4="",N4,O4)</f>
        <v>45292</v>
      </c>
    </row>
    <row r="5" spans="1:22" ht="15" customHeight="1" x14ac:dyDescent="0.15">
      <c r="A5" s="5" t="s">
        <v>311</v>
      </c>
      <c r="B5" s="5" t="s">
        <v>312</v>
      </c>
      <c r="C5" s="5" t="s">
        <v>9</v>
      </c>
      <c r="D5" s="5" t="s">
        <v>10</v>
      </c>
      <c r="E5" s="5" t="s">
        <v>319</v>
      </c>
      <c r="F5" s="5"/>
      <c r="G5" s="5" t="s">
        <v>319</v>
      </c>
      <c r="H5" s="5" t="s">
        <v>320</v>
      </c>
      <c r="I5" s="5"/>
      <c r="J5" s="5" t="s">
        <v>321</v>
      </c>
      <c r="K5" s="5" t="s">
        <v>322</v>
      </c>
      <c r="L5" s="5" t="s">
        <v>323</v>
      </c>
      <c r="M5" s="5" t="s">
        <v>324</v>
      </c>
      <c r="N5" s="9">
        <v>44587</v>
      </c>
      <c r="O5" s="9">
        <v>45077</v>
      </c>
      <c r="P5" s="10" t="s">
        <v>24</v>
      </c>
      <c r="Q5" s="5" t="s">
        <v>25</v>
      </c>
      <c r="R5" s="5" t="s">
        <v>1202</v>
      </c>
      <c r="S5" s="5" t="s">
        <v>485</v>
      </c>
      <c r="T5" s="16" t="str">
        <f>IF(F5="",E5,F5)</f>
        <v>STB912</v>
      </c>
      <c r="U5" s="16" t="str">
        <f>H5&amp;I5</f>
        <v>致达亿贝私募证券投资基金</v>
      </c>
      <c r="V5" s="17">
        <f>IF(O5="",N5,O5)</f>
        <v>45077</v>
      </c>
    </row>
    <row r="6" spans="1:22" ht="15" customHeight="1" x14ac:dyDescent="0.15">
      <c r="A6" s="5" t="s">
        <v>311</v>
      </c>
      <c r="B6" s="5" t="s">
        <v>312</v>
      </c>
      <c r="C6" s="5" t="s">
        <v>9</v>
      </c>
      <c r="D6" s="5" t="s">
        <v>10</v>
      </c>
      <c r="E6" s="5" t="s">
        <v>345</v>
      </c>
      <c r="F6" s="5"/>
      <c r="G6" s="5"/>
      <c r="H6" s="5" t="s">
        <v>346</v>
      </c>
      <c r="I6" s="5"/>
      <c r="J6" s="5" t="s">
        <v>321</v>
      </c>
      <c r="K6" s="5" t="s">
        <v>322</v>
      </c>
      <c r="L6" s="5" t="s">
        <v>323</v>
      </c>
      <c r="M6" s="5" t="s">
        <v>347</v>
      </c>
      <c r="N6" s="9">
        <v>44663</v>
      </c>
      <c r="O6" s="9">
        <v>45268</v>
      </c>
      <c r="P6" s="10" t="s">
        <v>24</v>
      </c>
      <c r="Q6" s="5" t="s">
        <v>1135</v>
      </c>
      <c r="R6" s="5"/>
      <c r="S6" s="5" t="s">
        <v>485</v>
      </c>
      <c r="T6" s="16" t="str">
        <f>IF(F6="",E6,F6)</f>
        <v>SVG702</v>
      </c>
      <c r="U6" s="16" t="str">
        <f>H6&amp;I6</f>
        <v>致达萬贝私募证券投资基金</v>
      </c>
      <c r="V6" s="17">
        <f>IF(O6="",N6,O6)</f>
        <v>45268</v>
      </c>
    </row>
    <row r="7" spans="1:22" ht="15" customHeight="1" x14ac:dyDescent="0.15">
      <c r="A7" s="5" t="s">
        <v>311</v>
      </c>
      <c r="B7" s="5" t="s">
        <v>312</v>
      </c>
      <c r="C7" s="5" t="s">
        <v>9</v>
      </c>
      <c r="D7" s="5" t="s">
        <v>506</v>
      </c>
      <c r="E7" s="5" t="s">
        <v>515</v>
      </c>
      <c r="F7" s="5"/>
      <c r="G7" s="5"/>
      <c r="H7" s="5" t="s">
        <v>762</v>
      </c>
      <c r="I7" s="5"/>
      <c r="J7" s="5" t="s">
        <v>321</v>
      </c>
      <c r="K7" s="5" t="s">
        <v>322</v>
      </c>
      <c r="L7" s="5" t="s">
        <v>924</v>
      </c>
      <c r="M7" s="5" t="s">
        <v>347</v>
      </c>
      <c r="N7" s="9">
        <v>44798</v>
      </c>
      <c r="O7" s="9" t="s">
        <v>399</v>
      </c>
      <c r="P7" s="10"/>
      <c r="Q7" s="5" t="s">
        <v>1135</v>
      </c>
      <c r="R7" s="5"/>
      <c r="S7" s="5" t="s">
        <v>485</v>
      </c>
      <c r="T7" s="16" t="str">
        <f>IF(F7="",E7,F7)</f>
        <v>SVY320</v>
      </c>
      <c r="U7" s="16" t="str">
        <f>H7&amp;I7</f>
        <v>致达兆贝私募证券投资基金</v>
      </c>
      <c r="V7" s="17">
        <f>IF(O7="",N7,O7)</f>
        <v>44798</v>
      </c>
    </row>
    <row r="8" spans="1:22" ht="15" customHeight="1" x14ac:dyDescent="0.15">
      <c r="A8" s="5" t="s">
        <v>311</v>
      </c>
      <c r="B8" s="5" t="s">
        <v>312</v>
      </c>
      <c r="C8" s="5" t="s">
        <v>9</v>
      </c>
      <c r="D8" s="5" t="s">
        <v>506</v>
      </c>
      <c r="E8" s="5" t="s">
        <v>515</v>
      </c>
      <c r="F8" s="5" t="s">
        <v>657</v>
      </c>
      <c r="G8" s="5"/>
      <c r="H8" s="5" t="s">
        <v>762</v>
      </c>
      <c r="I8" s="5" t="s">
        <v>47</v>
      </c>
      <c r="J8" s="5" t="s">
        <v>321</v>
      </c>
      <c r="K8" s="5" t="s">
        <v>322</v>
      </c>
      <c r="L8" s="5" t="s">
        <v>924</v>
      </c>
      <c r="M8" s="5" t="s">
        <v>347</v>
      </c>
      <c r="N8" s="9">
        <v>44798</v>
      </c>
      <c r="O8" s="9" t="s">
        <v>399</v>
      </c>
      <c r="P8" s="10"/>
      <c r="Q8" s="5" t="s">
        <v>1135</v>
      </c>
      <c r="R8" s="5"/>
      <c r="S8" s="5" t="s">
        <v>485</v>
      </c>
      <c r="T8" s="16" t="str">
        <f>IF(F8="",E8,F8)</f>
        <v>VY320A</v>
      </c>
      <c r="U8" s="16" t="str">
        <f>H8&amp;I8</f>
        <v>致达兆贝私募证券投资基金A类</v>
      </c>
      <c r="V8" s="17">
        <f>IF(O8="",N8,O8)</f>
        <v>44798</v>
      </c>
    </row>
    <row r="9" spans="1:22" ht="15" customHeight="1" x14ac:dyDescent="0.15">
      <c r="A9" s="5" t="s">
        <v>311</v>
      </c>
      <c r="B9" s="5" t="s">
        <v>312</v>
      </c>
      <c r="C9" s="5" t="s">
        <v>9</v>
      </c>
      <c r="D9" s="5" t="s">
        <v>506</v>
      </c>
      <c r="E9" s="5" t="s">
        <v>514</v>
      </c>
      <c r="F9" s="5" t="s">
        <v>656</v>
      </c>
      <c r="G9" s="5"/>
      <c r="H9" s="5" t="s">
        <v>761</v>
      </c>
      <c r="I9" s="5" t="s">
        <v>47</v>
      </c>
      <c r="J9" s="5" t="s">
        <v>321</v>
      </c>
      <c r="K9" s="5" t="s">
        <v>322</v>
      </c>
      <c r="L9" s="5" t="s">
        <v>924</v>
      </c>
      <c r="M9" s="5" t="s">
        <v>347</v>
      </c>
      <c r="N9" s="9">
        <v>44908</v>
      </c>
      <c r="O9" s="9" t="s">
        <v>399</v>
      </c>
      <c r="P9" s="10"/>
      <c r="Q9" s="5" t="s">
        <v>1139</v>
      </c>
      <c r="R9" s="5"/>
      <c r="S9" s="5" t="s">
        <v>485</v>
      </c>
      <c r="T9" s="16" t="str">
        <f>IF(F9="",E9,F9)</f>
        <v>XT404A</v>
      </c>
      <c r="U9" s="16" t="str">
        <f>H9&amp;I9</f>
        <v>致达京贝私募证券投资基金A类</v>
      </c>
      <c r="V9" s="17">
        <f>IF(O9="",N9,O9)</f>
        <v>44908</v>
      </c>
    </row>
    <row r="10" spans="1:22" ht="15" customHeight="1" x14ac:dyDescent="0.15">
      <c r="A10" s="5" t="s">
        <v>311</v>
      </c>
      <c r="B10" s="5" t="s">
        <v>312</v>
      </c>
      <c r="C10" s="5" t="s">
        <v>17</v>
      </c>
      <c r="D10" s="5" t="s">
        <v>506</v>
      </c>
      <c r="E10" s="5" t="s">
        <v>1141</v>
      </c>
      <c r="F10" s="5"/>
      <c r="G10" s="5"/>
      <c r="H10" s="5" t="s">
        <v>760</v>
      </c>
      <c r="I10" s="5"/>
      <c r="J10" s="5" t="s">
        <v>315</v>
      </c>
      <c r="K10" s="5" t="s">
        <v>923</v>
      </c>
      <c r="L10" s="5" t="s">
        <v>317</v>
      </c>
      <c r="M10" s="5" t="s">
        <v>87</v>
      </c>
      <c r="N10" s="9">
        <v>45428</v>
      </c>
      <c r="O10" s="9" t="s">
        <v>399</v>
      </c>
      <c r="P10" s="10"/>
      <c r="Q10" s="5" t="s">
        <v>1139</v>
      </c>
      <c r="R10" s="5"/>
      <c r="S10" s="5" t="s">
        <v>436</v>
      </c>
      <c r="T10" s="16" t="str">
        <f>IF(F10="",E10,F10)</f>
        <v>SAJX68</v>
      </c>
      <c r="U10" s="16" t="str">
        <f>H10&amp;I10</f>
        <v>特夫郁金香九号私募证券投资基金</v>
      </c>
      <c r="V10" s="17">
        <f>IF(O10="",N10,O10)</f>
        <v>45428</v>
      </c>
    </row>
    <row r="11" spans="1:22" ht="15" customHeight="1" x14ac:dyDescent="0.15">
      <c r="A11" s="5" t="s">
        <v>311</v>
      </c>
      <c r="B11" s="5" t="s">
        <v>312</v>
      </c>
      <c r="C11" s="5" t="s">
        <v>17</v>
      </c>
      <c r="D11" s="5" t="s">
        <v>10</v>
      </c>
      <c r="E11" s="5" t="s">
        <v>313</v>
      </c>
      <c r="F11" s="5"/>
      <c r="G11" s="5"/>
      <c r="H11" s="5" t="s">
        <v>314</v>
      </c>
      <c r="I11" s="5"/>
      <c r="J11" s="5" t="s">
        <v>315</v>
      </c>
      <c r="K11" s="5" t="s">
        <v>316</v>
      </c>
      <c r="L11" s="5" t="s">
        <v>317</v>
      </c>
      <c r="M11" s="5" t="s">
        <v>318</v>
      </c>
      <c r="N11" s="9">
        <v>44375</v>
      </c>
      <c r="O11" s="9"/>
      <c r="P11" s="10" t="s">
        <v>24</v>
      </c>
      <c r="Q11" s="5" t="s">
        <v>25</v>
      </c>
      <c r="R11" s="5"/>
      <c r="S11" s="5" t="s">
        <v>436</v>
      </c>
      <c r="T11" s="16" t="str">
        <f>IF(F11="",E11,F11)</f>
        <v>SQX078</v>
      </c>
      <c r="U11" s="16" t="str">
        <f>H11&amp;I11</f>
        <v>特夫郁金香全量化私募证券投资基金</v>
      </c>
      <c r="V11" s="17">
        <f>IF(O11="",N11,O11)</f>
        <v>44375</v>
      </c>
    </row>
    <row r="12" spans="1:22" ht="15" customHeight="1" x14ac:dyDescent="0.15">
      <c r="A12" s="5" t="s">
        <v>311</v>
      </c>
      <c r="B12" s="5" t="s">
        <v>312</v>
      </c>
      <c r="C12" s="5" t="s">
        <v>17</v>
      </c>
      <c r="D12" s="5" t="s">
        <v>506</v>
      </c>
      <c r="E12" s="5" t="s">
        <v>352</v>
      </c>
      <c r="F12" s="5"/>
      <c r="G12" s="5"/>
      <c r="H12" s="5" t="s">
        <v>353</v>
      </c>
      <c r="I12" s="5"/>
      <c r="J12" s="5" t="s">
        <v>315</v>
      </c>
      <c r="K12" s="5" t="s">
        <v>316</v>
      </c>
      <c r="L12" s="5" t="s">
        <v>317</v>
      </c>
      <c r="M12" s="5" t="s">
        <v>398</v>
      </c>
      <c r="N12" s="9">
        <v>44873</v>
      </c>
      <c r="O12" s="9"/>
      <c r="P12" s="10" t="s">
        <v>24</v>
      </c>
      <c r="Q12" s="5" t="s">
        <v>1139</v>
      </c>
      <c r="R12" s="5"/>
      <c r="S12" s="5" t="s">
        <v>436</v>
      </c>
      <c r="T12" s="16" t="str">
        <f>IF(F12="",E12,F12)</f>
        <v>SXR731</v>
      </c>
      <c r="U12" s="16" t="str">
        <f>H12&amp;I12</f>
        <v>特夫郁金香弦理1号私募证券投资基金</v>
      </c>
      <c r="V12" s="17">
        <f>IF(O12="",N12,O12)</f>
        <v>44873</v>
      </c>
    </row>
    <row r="13" spans="1:22" ht="15" customHeight="1" x14ac:dyDescent="0.15">
      <c r="A13" s="5" t="s">
        <v>311</v>
      </c>
      <c r="B13" s="5" t="s">
        <v>312</v>
      </c>
      <c r="C13" s="5" t="s">
        <v>17</v>
      </c>
      <c r="D13" s="5" t="s">
        <v>506</v>
      </c>
      <c r="E13" s="5" t="s">
        <v>511</v>
      </c>
      <c r="F13" s="5"/>
      <c r="G13" s="5"/>
      <c r="H13" s="5" t="s">
        <v>757</v>
      </c>
      <c r="I13" s="5"/>
      <c r="J13" s="5" t="s">
        <v>916</v>
      </c>
      <c r="K13" s="5" t="s">
        <v>917</v>
      </c>
      <c r="L13" s="5" t="s">
        <v>918</v>
      </c>
      <c r="M13" s="5" t="s">
        <v>87</v>
      </c>
      <c r="N13" s="9">
        <v>45784</v>
      </c>
      <c r="O13" s="9" t="s">
        <v>399</v>
      </c>
      <c r="P13" s="10"/>
      <c r="Q13" s="5" t="s">
        <v>1139</v>
      </c>
      <c r="R13" s="5" t="s">
        <v>1181</v>
      </c>
      <c r="S13" s="5"/>
      <c r="T13" s="16" t="str">
        <f>IF(F13="",E13,F13)</f>
        <v>SAXS45</v>
      </c>
      <c r="U13" s="16" t="str">
        <f>H13&amp;I13</f>
        <v>笃熙禀泰瑞禧3号私募证券投资基金</v>
      </c>
      <c r="V13" s="17">
        <f>IF(O13="",N13,O13)</f>
        <v>45784</v>
      </c>
    </row>
    <row r="14" spans="1:22" ht="15" customHeight="1" x14ac:dyDescent="0.15">
      <c r="A14" s="5" t="s">
        <v>311</v>
      </c>
      <c r="B14" s="5" t="s">
        <v>312</v>
      </c>
      <c r="C14" s="5" t="s">
        <v>17</v>
      </c>
      <c r="D14" s="5" t="s">
        <v>10</v>
      </c>
      <c r="E14" s="5" t="s">
        <v>512</v>
      </c>
      <c r="F14" s="5"/>
      <c r="G14" s="5"/>
      <c r="H14" s="5" t="s">
        <v>758</v>
      </c>
      <c r="I14" s="5"/>
      <c r="J14" s="5" t="s">
        <v>919</v>
      </c>
      <c r="K14" s="5" t="s">
        <v>920</v>
      </c>
      <c r="L14" s="5" t="s">
        <v>921</v>
      </c>
      <c r="M14" s="5" t="s">
        <v>398</v>
      </c>
      <c r="N14" s="9">
        <v>45863</v>
      </c>
      <c r="O14" s="9" t="s">
        <v>399</v>
      </c>
      <c r="P14" s="10"/>
      <c r="Q14" s="5" t="s">
        <v>1139</v>
      </c>
      <c r="R14" s="5"/>
      <c r="S14" s="5"/>
      <c r="T14" s="16" t="str">
        <f>IF(F14="",E14,F14)</f>
        <v>SBCE40</v>
      </c>
      <c r="U14" s="16" t="str">
        <f>H14&amp;I14</f>
        <v>衡颐嘉选1号私募证券投资基金</v>
      </c>
      <c r="V14" s="17">
        <f>IF(O14="",N14,O14)</f>
        <v>45863</v>
      </c>
    </row>
    <row r="15" spans="1:22" ht="15" customHeight="1" x14ac:dyDescent="0.15">
      <c r="A15" s="5" t="s">
        <v>311</v>
      </c>
      <c r="B15" s="5" t="s">
        <v>312</v>
      </c>
      <c r="C15" s="5" t="s">
        <v>17</v>
      </c>
      <c r="D15" s="5" t="s">
        <v>506</v>
      </c>
      <c r="E15" s="5" t="s">
        <v>513</v>
      </c>
      <c r="F15" s="5"/>
      <c r="G15" s="5"/>
      <c r="H15" s="5" t="s">
        <v>759</v>
      </c>
      <c r="I15" s="5"/>
      <c r="J15" s="5" t="s">
        <v>919</v>
      </c>
      <c r="K15" s="5" t="s">
        <v>920</v>
      </c>
      <c r="L15" s="5" t="s">
        <v>922</v>
      </c>
      <c r="M15" s="5" t="s">
        <v>42</v>
      </c>
      <c r="N15" s="9">
        <v>46001</v>
      </c>
      <c r="O15" s="9" t="s">
        <v>399</v>
      </c>
      <c r="P15" s="10"/>
      <c r="Q15" s="5" t="s">
        <v>1139</v>
      </c>
      <c r="R15" s="5"/>
      <c r="S15" s="5"/>
      <c r="T15" s="16" t="str">
        <f>IF(F15="",E15,F15)</f>
        <v>SBLP24</v>
      </c>
      <c r="U15" s="16" t="str">
        <f>H15&amp;I15</f>
        <v>衡颐嘉选2号私募证券投资基金</v>
      </c>
      <c r="V15" s="17">
        <f>IF(O15="",N15,O15)</f>
        <v>46001</v>
      </c>
    </row>
    <row r="16" spans="1:22" ht="15" customHeight="1" x14ac:dyDescent="0.15">
      <c r="A16" s="5" t="s">
        <v>311</v>
      </c>
      <c r="B16" s="5" t="s">
        <v>312</v>
      </c>
      <c r="C16" s="5" t="s">
        <v>17</v>
      </c>
      <c r="D16" s="5" t="s">
        <v>506</v>
      </c>
      <c r="E16" s="5" t="s">
        <v>1193</v>
      </c>
      <c r="F16" s="5"/>
      <c r="G16" s="5"/>
      <c r="H16" s="5" t="s">
        <v>756</v>
      </c>
      <c r="I16" s="5"/>
      <c r="J16" s="5" t="s">
        <v>916</v>
      </c>
      <c r="K16" s="5" t="s">
        <v>917</v>
      </c>
      <c r="L16" s="5" t="s">
        <v>918</v>
      </c>
      <c r="M16" s="5" t="s">
        <v>400</v>
      </c>
      <c r="N16" s="9">
        <v>44188</v>
      </c>
      <c r="O16" s="9">
        <v>45744</v>
      </c>
      <c r="P16" s="10" t="s">
        <v>24</v>
      </c>
      <c r="Q16" s="5" t="s">
        <v>1139</v>
      </c>
      <c r="R16" s="5" t="s">
        <v>1194</v>
      </c>
      <c r="S16" s="5"/>
      <c r="T16" s="16" t="str">
        <f>IF(F16="",E16,F16)</f>
        <v>SNG210</v>
      </c>
      <c r="U16" s="16" t="str">
        <f>H16&amp;I16</f>
        <v>笃熙禀泰瑞禧1号私募证券投资基金</v>
      </c>
      <c r="V16" s="17">
        <f>IF(O16="",N16,O16)</f>
        <v>45744</v>
      </c>
    </row>
    <row r="17" spans="1:22" ht="15" customHeight="1" x14ac:dyDescent="0.15">
      <c r="A17" s="5" t="s">
        <v>311</v>
      </c>
      <c r="B17" s="5" t="s">
        <v>325</v>
      </c>
      <c r="C17" s="5" t="s">
        <v>9</v>
      </c>
      <c r="D17" s="5" t="s">
        <v>10</v>
      </c>
      <c r="E17" s="5" t="s">
        <v>518</v>
      </c>
      <c r="F17" s="5" t="s">
        <v>660</v>
      </c>
      <c r="G17" s="5"/>
      <c r="H17" s="5" t="s">
        <v>766</v>
      </c>
      <c r="I17" s="5" t="s">
        <v>47</v>
      </c>
      <c r="J17" s="5" t="s">
        <v>912</v>
      </c>
      <c r="K17" s="5" t="s">
        <v>913</v>
      </c>
      <c r="L17" s="5" t="s">
        <v>397</v>
      </c>
      <c r="M17" s="5" t="s">
        <v>398</v>
      </c>
      <c r="N17" s="9">
        <v>45804</v>
      </c>
      <c r="O17" s="9" t="s">
        <v>399</v>
      </c>
      <c r="P17" s="10"/>
      <c r="Q17" s="5" t="s">
        <v>1139</v>
      </c>
      <c r="R17" s="5"/>
      <c r="S17" s="5"/>
      <c r="T17" s="16" t="str">
        <f>IF(F17="",E17,F17)</f>
        <v>AXV37A</v>
      </c>
      <c r="U17" s="16" t="str">
        <f>H17&amp;I17</f>
        <v>绵烁低波稳健1号私募证券投资基金A类</v>
      </c>
      <c r="V17" s="17">
        <f>IF(O17="",N17,O17)</f>
        <v>45804</v>
      </c>
    </row>
    <row r="18" spans="1:22" ht="15" customHeight="1" x14ac:dyDescent="0.15">
      <c r="A18" s="5" t="s">
        <v>311</v>
      </c>
      <c r="B18" s="5" t="s">
        <v>325</v>
      </c>
      <c r="C18" s="5" t="s">
        <v>17</v>
      </c>
      <c r="D18" s="5"/>
      <c r="E18" s="5" t="s">
        <v>519</v>
      </c>
      <c r="F18" s="5" t="s">
        <v>661</v>
      </c>
      <c r="G18" s="5"/>
      <c r="H18" s="5" t="s">
        <v>767</v>
      </c>
      <c r="I18" s="5" t="s">
        <v>47</v>
      </c>
      <c r="J18" s="5" t="s">
        <v>931</v>
      </c>
      <c r="K18" s="5" t="s">
        <v>932</v>
      </c>
      <c r="L18" s="5" t="s">
        <v>933</v>
      </c>
      <c r="M18" s="5" t="s">
        <v>398</v>
      </c>
      <c r="N18" s="9">
        <v>45825</v>
      </c>
      <c r="O18" s="9" t="s">
        <v>399</v>
      </c>
      <c r="P18" s="10"/>
      <c r="Q18" s="5" t="s">
        <v>1135</v>
      </c>
      <c r="R18" s="5" t="s">
        <v>404</v>
      </c>
      <c r="S18" s="5"/>
      <c r="T18" s="16" t="str">
        <f>IF(F18="",E18,F18)</f>
        <v>AYW49A</v>
      </c>
      <c r="U18" s="16" t="str">
        <f>H18&amp;I18</f>
        <v>时代共赢龙盘一号私募证券投资基金A类</v>
      </c>
      <c r="V18" s="17">
        <f>IF(O18="",N18,O18)</f>
        <v>45825</v>
      </c>
    </row>
    <row r="19" spans="1:22" ht="15" customHeight="1" x14ac:dyDescent="0.15">
      <c r="A19" s="5" t="s">
        <v>311</v>
      </c>
      <c r="B19" s="5" t="s">
        <v>325</v>
      </c>
      <c r="C19" s="5" t="s">
        <v>17</v>
      </c>
      <c r="D19" s="5" t="s">
        <v>10</v>
      </c>
      <c r="E19" s="5" t="s">
        <v>1342</v>
      </c>
      <c r="F19" s="5" t="s">
        <v>1343</v>
      </c>
      <c r="G19" s="5"/>
      <c r="H19" s="5" t="s">
        <v>1344</v>
      </c>
      <c r="I19" s="5" t="s">
        <v>82</v>
      </c>
      <c r="J19" s="5" t="s">
        <v>1345</v>
      </c>
      <c r="K19" s="5" t="s">
        <v>1346</v>
      </c>
      <c r="L19" s="5"/>
      <c r="M19" s="5" t="s">
        <v>215</v>
      </c>
      <c r="N19" s="9">
        <v>43525</v>
      </c>
      <c r="O19" s="9">
        <v>45747</v>
      </c>
      <c r="P19" s="10"/>
      <c r="Q19" s="5"/>
      <c r="R19" s="5" t="s">
        <v>1355</v>
      </c>
      <c r="S19" s="5"/>
      <c r="T19" s="16" t="str">
        <f>IF(F19="",E19,F19)</f>
        <v>GA724B</v>
      </c>
      <c r="U19" s="16" t="str">
        <f>H19&amp;I19</f>
        <v>致邃投资-致盈1号私募证券投资基金B类</v>
      </c>
      <c r="V19" s="17">
        <f>IF(O19="",N19,O19)</f>
        <v>45747</v>
      </c>
    </row>
    <row r="20" spans="1:22" ht="15" customHeight="1" x14ac:dyDescent="0.15">
      <c r="A20" s="5" t="s">
        <v>311</v>
      </c>
      <c r="B20" s="5" t="s">
        <v>325</v>
      </c>
      <c r="C20" s="5" t="s">
        <v>9</v>
      </c>
      <c r="D20" s="5" t="s">
        <v>506</v>
      </c>
      <c r="E20" s="5" t="s">
        <v>516</v>
      </c>
      <c r="F20" s="5" t="s">
        <v>658</v>
      </c>
      <c r="G20" s="5"/>
      <c r="H20" s="5" t="s">
        <v>763</v>
      </c>
      <c r="I20" s="5" t="s">
        <v>47</v>
      </c>
      <c r="J20" s="5" t="s">
        <v>925</v>
      </c>
      <c r="K20" s="5" t="s">
        <v>926</v>
      </c>
      <c r="L20" s="5" t="s">
        <v>927</v>
      </c>
      <c r="M20" s="5" t="s">
        <v>42</v>
      </c>
      <c r="N20" s="9">
        <v>44022</v>
      </c>
      <c r="O20" s="9" t="s">
        <v>399</v>
      </c>
      <c r="P20" s="10"/>
      <c r="Q20" s="5" t="s">
        <v>1139</v>
      </c>
      <c r="R20" s="5" t="s">
        <v>1170</v>
      </c>
      <c r="S20" s="5"/>
      <c r="T20" s="16" t="str">
        <f>IF(F20="",E20,F20)</f>
        <v>LG401A</v>
      </c>
      <c r="U20" s="16" t="str">
        <f>H20&amp;I20</f>
        <v>汇利玖奕1号私募证券投资基金A类</v>
      </c>
      <c r="V20" s="17">
        <f>IF(O20="",N20,O20)</f>
        <v>44022</v>
      </c>
    </row>
    <row r="21" spans="1:22" ht="15" customHeight="1" x14ac:dyDescent="0.15">
      <c r="A21" s="5" t="s">
        <v>311</v>
      </c>
      <c r="B21" s="5" t="s">
        <v>325</v>
      </c>
      <c r="C21" s="5" t="s">
        <v>17</v>
      </c>
      <c r="D21" s="5" t="s">
        <v>507</v>
      </c>
      <c r="E21" s="5" t="s">
        <v>1140</v>
      </c>
      <c r="F21" s="5"/>
      <c r="G21" s="5"/>
      <c r="H21" s="5" t="s">
        <v>765</v>
      </c>
      <c r="I21" s="5"/>
      <c r="J21" s="5" t="s">
        <v>928</v>
      </c>
      <c r="K21" s="5" t="s">
        <v>929</v>
      </c>
      <c r="L21" s="5" t="s">
        <v>930</v>
      </c>
      <c r="M21" s="5" t="s">
        <v>64</v>
      </c>
      <c r="N21" s="9">
        <v>45232</v>
      </c>
      <c r="O21" s="9" t="s">
        <v>399</v>
      </c>
      <c r="P21" s="10"/>
      <c r="Q21" s="5" t="s">
        <v>1139</v>
      </c>
      <c r="R21" s="5" t="s">
        <v>399</v>
      </c>
      <c r="S21" s="5"/>
      <c r="T21" s="16" t="str">
        <f>IF(F21="",E21,F21)</f>
        <v>SABX12</v>
      </c>
      <c r="U21" s="16" t="str">
        <f>H21&amp;I21</f>
        <v>量道追风1号私募证券投资基金</v>
      </c>
      <c r="V21" s="17">
        <f>IF(O21="",N21,O21)</f>
        <v>45232</v>
      </c>
    </row>
    <row r="22" spans="1:22" ht="15" customHeight="1" x14ac:dyDescent="0.15">
      <c r="A22" s="5" t="s">
        <v>311</v>
      </c>
      <c r="B22" s="5" t="s">
        <v>325</v>
      </c>
      <c r="C22" s="5" t="s">
        <v>27</v>
      </c>
      <c r="D22" s="5" t="s">
        <v>10</v>
      </c>
      <c r="E22" s="5" t="s">
        <v>340</v>
      </c>
      <c r="F22" s="5"/>
      <c r="G22" s="5" t="s">
        <v>340</v>
      </c>
      <c r="H22" s="5" t="s">
        <v>341</v>
      </c>
      <c r="I22" s="5"/>
      <c r="J22" s="5" t="s">
        <v>342</v>
      </c>
      <c r="K22" s="5" t="s">
        <v>343</v>
      </c>
      <c r="L22" s="5" t="s">
        <v>344</v>
      </c>
      <c r="M22" s="5" t="s">
        <v>23</v>
      </c>
      <c r="N22" s="9">
        <v>45265</v>
      </c>
      <c r="O22" s="9"/>
      <c r="P22" s="10" t="s">
        <v>24</v>
      </c>
      <c r="Q22" s="5" t="s">
        <v>25</v>
      </c>
      <c r="R22" s="5"/>
      <c r="S22" s="5"/>
      <c r="T22" s="16" t="str">
        <f>IF(F22="",E22,F22)</f>
        <v>SADZ77</v>
      </c>
      <c r="U22" s="16" t="str">
        <f>H22&amp;I22</f>
        <v>宁波溢锋闪闪一号私募证券投资基金</v>
      </c>
      <c r="V22" s="17">
        <f>IF(O22="",N22,O22)</f>
        <v>45265</v>
      </c>
    </row>
    <row r="23" spans="1:22" ht="15" customHeight="1" x14ac:dyDescent="0.15">
      <c r="A23" s="5" t="s">
        <v>311</v>
      </c>
      <c r="B23" s="5" t="s">
        <v>325</v>
      </c>
      <c r="C23" s="5" t="s">
        <v>27</v>
      </c>
      <c r="D23" s="5" t="s">
        <v>10</v>
      </c>
      <c r="E23" s="5" t="s">
        <v>520</v>
      </c>
      <c r="F23" s="5"/>
      <c r="G23" s="5"/>
      <c r="H23" s="5" t="s">
        <v>769</v>
      </c>
      <c r="I23" s="5"/>
      <c r="J23" s="5" t="s">
        <v>934</v>
      </c>
      <c r="K23" s="5" t="s">
        <v>935</v>
      </c>
      <c r="L23" s="5" t="s">
        <v>936</v>
      </c>
      <c r="M23" s="5" t="s">
        <v>400</v>
      </c>
      <c r="N23" s="9">
        <v>45742</v>
      </c>
      <c r="O23" s="9">
        <v>45772</v>
      </c>
      <c r="P23" s="10" t="s">
        <v>24</v>
      </c>
      <c r="Q23" s="5" t="s">
        <v>1139</v>
      </c>
      <c r="R23" s="5" t="s">
        <v>1180</v>
      </c>
      <c r="S23" s="5"/>
      <c r="T23" s="16" t="str">
        <f>IF(F23="",E23,F23)</f>
        <v>SAVY99</v>
      </c>
      <c r="U23" s="16" t="str">
        <f>H23&amp;I23</f>
        <v>曌文大红二号私募证券投资基金</v>
      </c>
      <c r="V23" s="17">
        <f>IF(O23="",N23,O23)</f>
        <v>45772</v>
      </c>
    </row>
    <row r="24" spans="1:22" ht="15" customHeight="1" x14ac:dyDescent="0.15">
      <c r="A24" s="5" t="s">
        <v>311</v>
      </c>
      <c r="B24" s="5" t="s">
        <v>325</v>
      </c>
      <c r="C24" s="5" t="s">
        <v>17</v>
      </c>
      <c r="D24" s="5" t="s">
        <v>10</v>
      </c>
      <c r="E24" s="5" t="s">
        <v>519</v>
      </c>
      <c r="F24" s="5"/>
      <c r="G24" s="5"/>
      <c r="H24" s="5" t="s">
        <v>767</v>
      </c>
      <c r="I24" s="5"/>
      <c r="J24" s="5" t="s">
        <v>931</v>
      </c>
      <c r="K24" s="5" t="s">
        <v>932</v>
      </c>
      <c r="L24" s="5" t="s">
        <v>933</v>
      </c>
      <c r="M24" s="5" t="s">
        <v>398</v>
      </c>
      <c r="N24" s="9">
        <v>45825</v>
      </c>
      <c r="O24" s="9"/>
      <c r="P24" s="10" t="s">
        <v>24</v>
      </c>
      <c r="Q24" s="5" t="s">
        <v>1135</v>
      </c>
      <c r="R24" s="5"/>
      <c r="S24" s="5"/>
      <c r="T24" s="16" t="str">
        <f>IF(F24="",E24,F24)</f>
        <v>SAYW49</v>
      </c>
      <c r="U24" s="16" t="str">
        <f>H24&amp;I24</f>
        <v>时代共赢龙盘一号私募证券投资基金</v>
      </c>
      <c r="V24" s="17">
        <f>IF(O24="",N24,O24)</f>
        <v>45825</v>
      </c>
    </row>
    <row r="25" spans="1:22" ht="15" customHeight="1" x14ac:dyDescent="0.15">
      <c r="A25" s="5" t="s">
        <v>311</v>
      </c>
      <c r="B25" s="5" t="s">
        <v>325</v>
      </c>
      <c r="C25" s="5" t="s">
        <v>9</v>
      </c>
      <c r="D25" s="5" t="s">
        <v>507</v>
      </c>
      <c r="E25" s="5" t="s">
        <v>348</v>
      </c>
      <c r="F25" s="5"/>
      <c r="G25" s="5"/>
      <c r="H25" s="5" t="s">
        <v>1204</v>
      </c>
      <c r="I25" s="5"/>
      <c r="J25" s="5" t="s">
        <v>349</v>
      </c>
      <c r="K25" s="5" t="s">
        <v>350</v>
      </c>
      <c r="L25" s="5" t="s">
        <v>351</v>
      </c>
      <c r="M25" s="5" t="s">
        <v>87</v>
      </c>
      <c r="N25" s="9">
        <v>44545</v>
      </c>
      <c r="O25" s="9"/>
      <c r="P25" s="10" t="s">
        <v>24</v>
      </c>
      <c r="Q25" s="5" t="s">
        <v>1139</v>
      </c>
      <c r="R25" s="5" t="s">
        <v>1203</v>
      </c>
      <c r="S25" s="5"/>
      <c r="T25" s="16" t="str">
        <f>IF(F25="",E25,F25)</f>
        <v>STH890</v>
      </c>
      <c r="U25" s="16" t="str">
        <f>H25&amp;I25</f>
        <v>极量龙泉私募证券投资基金</v>
      </c>
      <c r="V25" s="17">
        <f>IF(O25="",N25,O25)</f>
        <v>44545</v>
      </c>
    </row>
    <row r="26" spans="1:22" ht="15" customHeight="1" x14ac:dyDescent="0.15">
      <c r="A26" s="5" t="s">
        <v>311</v>
      </c>
      <c r="B26" s="5" t="s">
        <v>325</v>
      </c>
      <c r="C26" s="5" t="s">
        <v>17</v>
      </c>
      <c r="D26" s="5" t="s">
        <v>10</v>
      </c>
      <c r="E26" s="5" t="s">
        <v>1347</v>
      </c>
      <c r="F26" s="5"/>
      <c r="G26" s="5"/>
      <c r="H26" s="5" t="s">
        <v>1348</v>
      </c>
      <c r="I26" s="5"/>
      <c r="J26" s="5" t="s">
        <v>1338</v>
      </c>
      <c r="K26" s="5" t="s">
        <v>1339</v>
      </c>
      <c r="L26" s="5"/>
      <c r="M26" s="5" t="s">
        <v>237</v>
      </c>
      <c r="N26" s="9">
        <v>44543</v>
      </c>
      <c r="O26" s="9">
        <v>46010</v>
      </c>
      <c r="P26" s="10"/>
      <c r="Q26" s="5"/>
      <c r="R26" s="5" t="s">
        <v>1356</v>
      </c>
      <c r="S26" s="5"/>
      <c r="T26" s="16" t="str">
        <f>IF(F26="",E26,F26)</f>
        <v>STK200</v>
      </c>
      <c r="U26" s="16" t="str">
        <f>H26&amp;I26</f>
        <v>九招真格量化商品套利一号私募证券投资基金</v>
      </c>
      <c r="V26" s="17">
        <f>IF(O26="",N26,O26)</f>
        <v>46010</v>
      </c>
    </row>
    <row r="27" spans="1:22" ht="15" customHeight="1" x14ac:dyDescent="0.15">
      <c r="A27" s="5" t="s">
        <v>311</v>
      </c>
      <c r="B27" s="5" t="s">
        <v>325</v>
      </c>
      <c r="C27" s="5" t="s">
        <v>17</v>
      </c>
      <c r="D27" s="5" t="s">
        <v>506</v>
      </c>
      <c r="E27" s="5" t="s">
        <v>1347</v>
      </c>
      <c r="F27" s="5" t="s">
        <v>1349</v>
      </c>
      <c r="G27" s="5"/>
      <c r="H27" s="5" t="s">
        <v>1348</v>
      </c>
      <c r="I27" s="5" t="s">
        <v>82</v>
      </c>
      <c r="J27" s="5" t="s">
        <v>1338</v>
      </c>
      <c r="K27" s="5" t="s">
        <v>1339</v>
      </c>
      <c r="L27" s="5"/>
      <c r="M27" s="5" t="s">
        <v>237</v>
      </c>
      <c r="N27" s="9">
        <v>44543</v>
      </c>
      <c r="O27" s="9">
        <v>45485</v>
      </c>
      <c r="P27" s="10"/>
      <c r="Q27" s="5"/>
      <c r="R27" s="5" t="s">
        <v>1357</v>
      </c>
      <c r="S27" s="5"/>
      <c r="T27" s="16" t="str">
        <f>IF(F27="",E27,F27)</f>
        <v>TK200B</v>
      </c>
      <c r="U27" s="16" t="str">
        <f>H27&amp;I27</f>
        <v>九招真格量化商品套利一号私募证券投资基金B类</v>
      </c>
      <c r="V27" s="17">
        <f>IF(O27="",N27,O27)</f>
        <v>45485</v>
      </c>
    </row>
    <row r="28" spans="1:22" ht="15" customHeight="1" x14ac:dyDescent="0.15">
      <c r="A28" s="5" t="s">
        <v>311</v>
      </c>
      <c r="B28" s="5" t="s">
        <v>325</v>
      </c>
      <c r="C28" s="5" t="s">
        <v>9</v>
      </c>
      <c r="D28" s="5" t="s">
        <v>506</v>
      </c>
      <c r="E28" s="5" t="s">
        <v>517</v>
      </c>
      <c r="F28" s="5" t="s">
        <v>659</v>
      </c>
      <c r="G28" s="5"/>
      <c r="H28" s="5" t="s">
        <v>764</v>
      </c>
      <c r="I28" s="5" t="s">
        <v>47</v>
      </c>
      <c r="J28" s="5" t="s">
        <v>925</v>
      </c>
      <c r="K28" s="5" t="s">
        <v>926</v>
      </c>
      <c r="L28" s="5" t="s">
        <v>927</v>
      </c>
      <c r="M28" s="5" t="s">
        <v>106</v>
      </c>
      <c r="N28" s="9">
        <v>44578</v>
      </c>
      <c r="O28" s="9">
        <v>45653</v>
      </c>
      <c r="P28" s="10"/>
      <c r="Q28" s="5" t="s">
        <v>1139</v>
      </c>
      <c r="R28" s="5" t="s">
        <v>1241</v>
      </c>
      <c r="S28" s="5"/>
      <c r="T28" s="16" t="str">
        <f>IF(F28="",E28,F28)</f>
        <v>TT722A</v>
      </c>
      <c r="U28" s="16" t="str">
        <f>H28&amp;I28</f>
        <v>汇利玖奕2号私募证券投资基金A类</v>
      </c>
      <c r="V28" s="17">
        <f>IF(O28="",N28,O28)</f>
        <v>45653</v>
      </c>
    </row>
    <row r="29" spans="1:22" ht="15" customHeight="1" x14ac:dyDescent="0.15">
      <c r="A29" s="5" t="s">
        <v>311</v>
      </c>
      <c r="B29" s="5" t="s">
        <v>325</v>
      </c>
      <c r="C29" s="5" t="s">
        <v>9</v>
      </c>
      <c r="D29" s="5" t="s">
        <v>10</v>
      </c>
      <c r="E29" s="5" t="s">
        <v>326</v>
      </c>
      <c r="F29" s="5" t="s">
        <v>662</v>
      </c>
      <c r="G29" s="5"/>
      <c r="H29" s="5" t="s">
        <v>768</v>
      </c>
      <c r="I29" s="5" t="s">
        <v>47</v>
      </c>
      <c r="J29" s="5" t="s">
        <v>229</v>
      </c>
      <c r="K29" s="5" t="s">
        <v>230</v>
      </c>
      <c r="L29" s="5" t="s">
        <v>327</v>
      </c>
      <c r="M29" s="5" t="s">
        <v>398</v>
      </c>
      <c r="N29" s="9">
        <v>44599</v>
      </c>
      <c r="O29" s="9"/>
      <c r="P29" s="10" t="s">
        <v>24</v>
      </c>
      <c r="Q29" s="5" t="s">
        <v>1135</v>
      </c>
      <c r="R29" s="5"/>
      <c r="S29" s="5"/>
      <c r="T29" s="16" t="str">
        <f>IF(F29="",E29,F29)</f>
        <v>TV497A</v>
      </c>
      <c r="U29" s="16" t="str">
        <f>H29&amp;I29</f>
        <v>迎水元宝11号私募证券投资基金A类</v>
      </c>
      <c r="V29" s="17">
        <f>IF(O29="",N29,O29)</f>
        <v>44599</v>
      </c>
    </row>
    <row r="30" spans="1:22" ht="15" customHeight="1" x14ac:dyDescent="0.15">
      <c r="A30" s="5" t="s">
        <v>311</v>
      </c>
      <c r="B30" s="5" t="s">
        <v>455</v>
      </c>
      <c r="C30" s="5" t="s">
        <v>9</v>
      </c>
      <c r="D30" s="5" t="s">
        <v>506</v>
      </c>
      <c r="E30" s="5" t="s">
        <v>529</v>
      </c>
      <c r="F30" s="5" t="s">
        <v>670</v>
      </c>
      <c r="G30" s="5"/>
      <c r="H30" s="5" t="s">
        <v>778</v>
      </c>
      <c r="I30" s="5" t="s">
        <v>47</v>
      </c>
      <c r="J30" s="5" t="s">
        <v>912</v>
      </c>
      <c r="K30" s="5" t="s">
        <v>913</v>
      </c>
      <c r="L30" s="5" t="s">
        <v>397</v>
      </c>
      <c r="M30" s="5" t="s">
        <v>398</v>
      </c>
      <c r="N30" s="9">
        <v>45833</v>
      </c>
      <c r="O30" s="9" t="s">
        <v>399</v>
      </c>
      <c r="P30" s="10"/>
      <c r="Q30" s="5" t="s">
        <v>1135</v>
      </c>
      <c r="R30" s="5"/>
      <c r="S30" s="5" t="s">
        <v>436</v>
      </c>
      <c r="T30" s="16" t="str">
        <f>IF(F30="",E30,F30)</f>
        <v>BAK44A</v>
      </c>
      <c r="U30" s="16" t="str">
        <f>H30&amp;I30</f>
        <v>绵烁群鹰1号私募证券投资基金A类</v>
      </c>
      <c r="V30" s="17">
        <f>IF(O30="",N30,O30)</f>
        <v>45833</v>
      </c>
    </row>
    <row r="31" spans="1:22" ht="15" customHeight="1" x14ac:dyDescent="0.15">
      <c r="A31" s="5" t="s">
        <v>311</v>
      </c>
      <c r="B31" s="5" t="s">
        <v>455</v>
      </c>
      <c r="C31" s="5" t="s">
        <v>9</v>
      </c>
      <c r="D31" s="5" t="s">
        <v>506</v>
      </c>
      <c r="E31" s="5" t="s">
        <v>521</v>
      </c>
      <c r="F31" s="5" t="s">
        <v>664</v>
      </c>
      <c r="G31" s="5"/>
      <c r="H31" s="5" t="s">
        <v>770</v>
      </c>
      <c r="I31" s="5" t="s">
        <v>47</v>
      </c>
      <c r="J31" s="5" t="s">
        <v>937</v>
      </c>
      <c r="K31" s="5" t="s">
        <v>938</v>
      </c>
      <c r="L31" s="5" t="s">
        <v>939</v>
      </c>
      <c r="M31" s="5" t="s">
        <v>398</v>
      </c>
      <c r="N31" s="9">
        <v>45898</v>
      </c>
      <c r="O31" s="9" t="s">
        <v>399</v>
      </c>
      <c r="P31" s="10"/>
      <c r="Q31" s="5" t="s">
        <v>1135</v>
      </c>
      <c r="R31" s="5"/>
      <c r="S31" s="5" t="s">
        <v>436</v>
      </c>
      <c r="T31" s="16" t="str">
        <f>IF(F31="",E31,F31)</f>
        <v>BBY84A</v>
      </c>
      <c r="U31" s="16" t="str">
        <f>H31&amp;I31</f>
        <v>恺俊新锐1号私募证券投资基金A类</v>
      </c>
      <c r="V31" s="17">
        <f>IF(O31="",N31,O31)</f>
        <v>45898</v>
      </c>
    </row>
    <row r="32" spans="1:22" ht="15" customHeight="1" x14ac:dyDescent="0.15">
      <c r="A32" s="5" t="s">
        <v>311</v>
      </c>
      <c r="B32" s="5" t="s">
        <v>455</v>
      </c>
      <c r="C32" s="5" t="s">
        <v>9</v>
      </c>
      <c r="D32" s="5" t="s">
        <v>506</v>
      </c>
      <c r="E32" s="5" t="s">
        <v>521</v>
      </c>
      <c r="F32" s="5" t="s">
        <v>665</v>
      </c>
      <c r="G32" s="5"/>
      <c r="H32" s="5" t="s">
        <v>770</v>
      </c>
      <c r="I32" s="5" t="s">
        <v>82</v>
      </c>
      <c r="J32" s="5" t="s">
        <v>937</v>
      </c>
      <c r="K32" s="5" t="s">
        <v>938</v>
      </c>
      <c r="L32" s="5" t="s">
        <v>939</v>
      </c>
      <c r="M32" s="5" t="s">
        <v>398</v>
      </c>
      <c r="N32" s="9">
        <v>45898</v>
      </c>
      <c r="O32" s="9" t="s">
        <v>399</v>
      </c>
      <c r="P32" s="10"/>
      <c r="Q32" s="5" t="s">
        <v>1135</v>
      </c>
      <c r="R32" s="5"/>
      <c r="S32" s="5" t="s">
        <v>436</v>
      </c>
      <c r="T32" s="16" t="str">
        <f>IF(F32="",E32,F32)</f>
        <v>BBY84B</v>
      </c>
      <c r="U32" s="16" t="str">
        <f>H32&amp;I32</f>
        <v>恺俊新锐1号私募证券投资基金B类</v>
      </c>
      <c r="V32" s="17">
        <f>IF(O32="",N32,O32)</f>
        <v>45898</v>
      </c>
    </row>
    <row r="33" spans="1:22" ht="15" customHeight="1" x14ac:dyDescent="0.15">
      <c r="A33" s="5" t="s">
        <v>311</v>
      </c>
      <c r="B33" s="5" t="s">
        <v>454</v>
      </c>
      <c r="C33" s="5" t="s">
        <v>17</v>
      </c>
      <c r="D33" s="5" t="s">
        <v>10</v>
      </c>
      <c r="E33" s="5" t="s">
        <v>528</v>
      </c>
      <c r="F33" s="5" t="s">
        <v>1147</v>
      </c>
      <c r="G33" s="5"/>
      <c r="H33" s="5" t="s">
        <v>777</v>
      </c>
      <c r="I33" s="5" t="s">
        <v>82</v>
      </c>
      <c r="J33" s="5" t="s">
        <v>940</v>
      </c>
      <c r="K33" s="5" t="s">
        <v>941</v>
      </c>
      <c r="L33" s="5" t="s">
        <v>944</v>
      </c>
      <c r="M33" s="5" t="s">
        <v>324</v>
      </c>
      <c r="N33" s="9">
        <v>45575</v>
      </c>
      <c r="O33" s="9" t="s">
        <v>399</v>
      </c>
      <c r="P33" s="10"/>
      <c r="Q33" s="5" t="s">
        <v>1135</v>
      </c>
      <c r="R33" s="5"/>
      <c r="S33" s="5" t="s">
        <v>486</v>
      </c>
      <c r="T33" s="16" t="str">
        <f>IF(F33="",E33,F33)</f>
        <v>APF83B</v>
      </c>
      <c r="U33" s="16" t="str">
        <f>H33&amp;I33</f>
        <v>简文日昇9号私募证券投资基金B类</v>
      </c>
      <c r="V33" s="17">
        <f>IF(O33="",N33,O33)</f>
        <v>45575</v>
      </c>
    </row>
    <row r="34" spans="1:22" ht="15" customHeight="1" x14ac:dyDescent="0.15">
      <c r="A34" s="5" t="s">
        <v>311</v>
      </c>
      <c r="B34" s="5" t="s">
        <v>454</v>
      </c>
      <c r="C34" s="5" t="s">
        <v>17</v>
      </c>
      <c r="D34" s="5" t="s">
        <v>10</v>
      </c>
      <c r="E34" s="5" t="s">
        <v>526</v>
      </c>
      <c r="F34" s="5" t="s">
        <v>669</v>
      </c>
      <c r="G34" s="5"/>
      <c r="H34" s="5" t="s">
        <v>775</v>
      </c>
      <c r="I34" s="5" t="s">
        <v>82</v>
      </c>
      <c r="J34" s="5" t="s">
        <v>940</v>
      </c>
      <c r="K34" s="5" t="s">
        <v>941</v>
      </c>
      <c r="L34" s="5" t="s">
        <v>942</v>
      </c>
      <c r="M34" s="5" t="s">
        <v>87</v>
      </c>
      <c r="N34" s="9">
        <v>44518</v>
      </c>
      <c r="O34" s="9">
        <v>45395</v>
      </c>
      <c r="P34" s="10" t="s">
        <v>24</v>
      </c>
      <c r="Q34" s="5" t="s">
        <v>1135</v>
      </c>
      <c r="R34" s="5" t="s">
        <v>1216</v>
      </c>
      <c r="S34" s="5" t="s">
        <v>486</v>
      </c>
      <c r="T34" s="16" t="str">
        <f>IF(F34="",E34,F34)</f>
        <v>TA666B</v>
      </c>
      <c r="U34" s="16" t="str">
        <f>H34&amp;I34</f>
        <v>简文日昇1号私募证券投资基金B类</v>
      </c>
      <c r="V34" s="17">
        <f>IF(O34="",N34,O34)</f>
        <v>45395</v>
      </c>
    </row>
    <row r="35" spans="1:22" ht="15" customHeight="1" x14ac:dyDescent="0.15">
      <c r="A35" s="5" t="s">
        <v>311</v>
      </c>
      <c r="B35" s="5" t="s">
        <v>454</v>
      </c>
      <c r="C35" s="5" t="s">
        <v>9</v>
      </c>
      <c r="D35" s="5" t="s">
        <v>10</v>
      </c>
      <c r="E35" s="5" t="s">
        <v>522</v>
      </c>
      <c r="F35" s="5" t="s">
        <v>666</v>
      </c>
      <c r="G35" s="5"/>
      <c r="H35" s="5" t="s">
        <v>771</v>
      </c>
      <c r="I35" s="5" t="s">
        <v>47</v>
      </c>
      <c r="J35" s="5" t="s">
        <v>912</v>
      </c>
      <c r="K35" s="5" t="s">
        <v>913</v>
      </c>
      <c r="L35" s="5" t="s">
        <v>397</v>
      </c>
      <c r="M35" s="5" t="s">
        <v>398</v>
      </c>
      <c r="N35" s="9">
        <v>45832</v>
      </c>
      <c r="O35" s="9" t="s">
        <v>399</v>
      </c>
      <c r="P35" s="10"/>
      <c r="Q35" s="5" t="s">
        <v>1139</v>
      </c>
      <c r="R35" s="5"/>
      <c r="S35" s="5" t="s">
        <v>436</v>
      </c>
      <c r="T35" s="16" t="str">
        <f>IF(F35="",E35,F35)</f>
        <v>BAK45A</v>
      </c>
      <c r="U35" s="16" t="str">
        <f>H35&amp;I35</f>
        <v>绵烁土龙1号私募证券投资基金A类</v>
      </c>
      <c r="V35" s="17">
        <f>IF(O35="",N35,O35)</f>
        <v>45832</v>
      </c>
    </row>
    <row r="36" spans="1:22" ht="15" customHeight="1" x14ac:dyDescent="0.15">
      <c r="A36" s="5" t="s">
        <v>311</v>
      </c>
      <c r="B36" s="5" t="s">
        <v>454</v>
      </c>
      <c r="C36" s="5" t="s">
        <v>9</v>
      </c>
      <c r="D36" s="5" t="s">
        <v>506</v>
      </c>
      <c r="E36" s="5" t="s">
        <v>522</v>
      </c>
      <c r="F36" s="5" t="s">
        <v>667</v>
      </c>
      <c r="G36" s="5"/>
      <c r="H36" s="5" t="s">
        <v>771</v>
      </c>
      <c r="I36" s="5" t="s">
        <v>82</v>
      </c>
      <c r="J36" s="5" t="s">
        <v>912</v>
      </c>
      <c r="K36" s="5" t="s">
        <v>913</v>
      </c>
      <c r="L36" s="5" t="s">
        <v>397</v>
      </c>
      <c r="M36" s="5" t="s">
        <v>398</v>
      </c>
      <c r="N36" s="9">
        <v>45832</v>
      </c>
      <c r="O36" s="9" t="s">
        <v>399</v>
      </c>
      <c r="P36" s="10"/>
      <c r="Q36" s="5" t="s">
        <v>1135</v>
      </c>
      <c r="R36" s="5"/>
      <c r="S36" s="5" t="s">
        <v>436</v>
      </c>
      <c r="T36" s="16" t="str">
        <f>IF(F36="",E36,F36)</f>
        <v>BAK45B</v>
      </c>
      <c r="U36" s="16" t="str">
        <f>H36&amp;I36</f>
        <v>绵烁土龙1号私募证券投资基金B类</v>
      </c>
      <c r="V36" s="17">
        <f>IF(O36="",N36,O36)</f>
        <v>45832</v>
      </c>
    </row>
    <row r="37" spans="1:22" ht="15" customHeight="1" x14ac:dyDescent="0.15">
      <c r="A37" s="5" t="s">
        <v>311</v>
      </c>
      <c r="B37" s="5" t="s">
        <v>454</v>
      </c>
      <c r="C37" s="5" t="s">
        <v>9</v>
      </c>
      <c r="D37" s="5" t="s">
        <v>10</v>
      </c>
      <c r="E37" s="5" t="s">
        <v>401</v>
      </c>
      <c r="F37" s="5" t="s">
        <v>663</v>
      </c>
      <c r="G37" s="5"/>
      <c r="H37" s="5" t="s">
        <v>402</v>
      </c>
      <c r="I37" s="5" t="s">
        <v>82</v>
      </c>
      <c r="J37" s="5" t="s">
        <v>337</v>
      </c>
      <c r="K37" s="5" t="s">
        <v>338</v>
      </c>
      <c r="L37" s="5" t="s">
        <v>339</v>
      </c>
      <c r="M37" s="5" t="s">
        <v>237</v>
      </c>
      <c r="N37" s="9">
        <v>42914</v>
      </c>
      <c r="O37" s="9">
        <v>45310</v>
      </c>
      <c r="P37" s="10" t="s">
        <v>24</v>
      </c>
      <c r="Q37" s="5" t="s">
        <v>25</v>
      </c>
      <c r="R37" s="5" t="s">
        <v>403</v>
      </c>
      <c r="S37" s="5" t="s">
        <v>436</v>
      </c>
      <c r="T37" s="16" t="str">
        <f>IF(F37="",E37,F37)</f>
        <v>T9726B</v>
      </c>
      <c r="U37" s="16" t="str">
        <f>H37&amp;I37</f>
        <v>博弈主升一号私募证券投资基金B类</v>
      </c>
      <c r="V37" s="17">
        <f>IF(O37="",N37,O37)</f>
        <v>45310</v>
      </c>
    </row>
    <row r="38" spans="1:22" ht="15" customHeight="1" x14ac:dyDescent="0.15">
      <c r="A38" s="5" t="s">
        <v>311</v>
      </c>
      <c r="B38" s="5" t="s">
        <v>454</v>
      </c>
      <c r="C38" s="5" t="s">
        <v>17</v>
      </c>
      <c r="D38" s="5" t="s">
        <v>506</v>
      </c>
      <c r="E38" s="5" t="s">
        <v>527</v>
      </c>
      <c r="F38" s="5" t="s">
        <v>1146</v>
      </c>
      <c r="G38" s="5"/>
      <c r="H38" s="5" t="s">
        <v>776</v>
      </c>
      <c r="I38" s="5" t="s">
        <v>82</v>
      </c>
      <c r="J38" s="5" t="s">
        <v>940</v>
      </c>
      <c r="K38" s="5" t="s">
        <v>941</v>
      </c>
      <c r="L38" s="5" t="s">
        <v>943</v>
      </c>
      <c r="M38" s="5" t="s">
        <v>318</v>
      </c>
      <c r="N38" s="9">
        <v>45537</v>
      </c>
      <c r="O38" s="9" t="s">
        <v>399</v>
      </c>
      <c r="P38" s="10"/>
      <c r="Q38" s="5" t="s">
        <v>1139</v>
      </c>
      <c r="R38" s="5"/>
      <c r="S38" s="5" t="s">
        <v>487</v>
      </c>
      <c r="T38" s="16" t="str">
        <f>IF(F38="",E38,F38)</f>
        <v>ANR59B</v>
      </c>
      <c r="U38" s="16" t="str">
        <f>H38&amp;I38</f>
        <v>简文日昇8号私募证券投资基金B类</v>
      </c>
      <c r="V38" s="17">
        <f>IF(O38="",N38,O38)</f>
        <v>45537</v>
      </c>
    </row>
    <row r="39" spans="1:22" ht="15" customHeight="1" x14ac:dyDescent="0.15">
      <c r="A39" s="5" t="s">
        <v>311</v>
      </c>
      <c r="B39" s="5" t="s">
        <v>456</v>
      </c>
      <c r="C39" s="5" t="s">
        <v>9</v>
      </c>
      <c r="D39" s="5" t="s">
        <v>506</v>
      </c>
      <c r="E39" s="5" t="s">
        <v>523</v>
      </c>
      <c r="F39" s="5" t="s">
        <v>1144</v>
      </c>
      <c r="G39" s="5"/>
      <c r="H39" s="5" t="s">
        <v>772</v>
      </c>
      <c r="I39" s="5" t="s">
        <v>82</v>
      </c>
      <c r="J39" s="5" t="s">
        <v>328</v>
      </c>
      <c r="K39" s="5" t="s">
        <v>329</v>
      </c>
      <c r="L39" s="5" t="s">
        <v>330</v>
      </c>
      <c r="M39" s="5" t="s">
        <v>400</v>
      </c>
      <c r="N39" s="9">
        <v>45530</v>
      </c>
      <c r="O39" s="9" t="s">
        <v>399</v>
      </c>
      <c r="P39" s="10"/>
      <c r="Q39" s="5" t="s">
        <v>1135</v>
      </c>
      <c r="R39" s="5"/>
      <c r="S39" s="5" t="s">
        <v>436</v>
      </c>
      <c r="T39" s="16" t="str">
        <f>IF(F39="",E39,F39)</f>
        <v>ANM92B</v>
      </c>
      <c r="U39" s="16" t="str">
        <f>H39&amp;I39</f>
        <v>创世纪顾锝屠龙1号私募证券投资基金B类</v>
      </c>
      <c r="V39" s="17">
        <f>IF(O39="",N39,O39)</f>
        <v>45530</v>
      </c>
    </row>
    <row r="40" spans="1:22" ht="15" customHeight="1" x14ac:dyDescent="0.15">
      <c r="A40" s="5" t="s">
        <v>311</v>
      </c>
      <c r="B40" s="5" t="s">
        <v>456</v>
      </c>
      <c r="C40" s="5" t="s">
        <v>9</v>
      </c>
      <c r="D40" s="5" t="s">
        <v>506</v>
      </c>
      <c r="E40" s="5" t="s">
        <v>524</v>
      </c>
      <c r="F40" s="5" t="s">
        <v>1148</v>
      </c>
      <c r="G40" s="5"/>
      <c r="H40" s="5" t="s">
        <v>773</v>
      </c>
      <c r="I40" s="5" t="s">
        <v>82</v>
      </c>
      <c r="J40" s="5" t="s">
        <v>328</v>
      </c>
      <c r="K40" s="5" t="s">
        <v>329</v>
      </c>
      <c r="L40" s="5" t="s">
        <v>330</v>
      </c>
      <c r="M40" s="5" t="s">
        <v>400</v>
      </c>
      <c r="N40" s="9">
        <v>45610</v>
      </c>
      <c r="O40" s="9" t="s">
        <v>399</v>
      </c>
      <c r="P40" s="10"/>
      <c r="Q40" s="5" t="s">
        <v>1135</v>
      </c>
      <c r="R40" s="5" t="s">
        <v>1158</v>
      </c>
      <c r="S40" s="5" t="s">
        <v>436</v>
      </c>
      <c r="T40" s="16" t="str">
        <f>IF(F40="",E40,F40)</f>
        <v>AQS85B</v>
      </c>
      <c r="U40" s="16" t="str">
        <f>H40&amp;I40</f>
        <v>创世纪顾锝屠龙2号私募证券投资基金B类</v>
      </c>
      <c r="V40" s="17">
        <f>IF(O40="",N40,O40)</f>
        <v>45610</v>
      </c>
    </row>
    <row r="41" spans="1:22" ht="15" customHeight="1" x14ac:dyDescent="0.15">
      <c r="A41" s="5" t="s">
        <v>311</v>
      </c>
      <c r="B41" s="5" t="s">
        <v>456</v>
      </c>
      <c r="C41" s="5" t="s">
        <v>9</v>
      </c>
      <c r="D41" s="5" t="s">
        <v>506</v>
      </c>
      <c r="E41" s="5" t="s">
        <v>525</v>
      </c>
      <c r="F41" s="5" t="s">
        <v>668</v>
      </c>
      <c r="G41" s="5"/>
      <c r="H41" s="5" t="s">
        <v>774</v>
      </c>
      <c r="I41" s="5" t="s">
        <v>47</v>
      </c>
      <c r="J41" s="5" t="s">
        <v>328</v>
      </c>
      <c r="K41" s="5" t="s">
        <v>329</v>
      </c>
      <c r="L41" s="5" t="s">
        <v>330</v>
      </c>
      <c r="M41" s="5" t="s">
        <v>400</v>
      </c>
      <c r="N41" s="9">
        <v>45750</v>
      </c>
      <c r="O41" s="9" t="s">
        <v>399</v>
      </c>
      <c r="P41" s="10"/>
      <c r="Q41" s="5" t="s">
        <v>1139</v>
      </c>
      <c r="R41" s="5"/>
      <c r="S41" s="5" t="s">
        <v>436</v>
      </c>
      <c r="T41" s="16" t="str">
        <f>IF(F41="",E41,F41)</f>
        <v>AWM19A</v>
      </c>
      <c r="U41" s="16" t="str">
        <f>H41&amp;I41</f>
        <v>创世纪顾锝屠龙4号私募证券投资基金A类</v>
      </c>
      <c r="V41" s="17">
        <f>IF(O41="",N41,O41)</f>
        <v>45750</v>
      </c>
    </row>
    <row r="42" spans="1:22" ht="15" customHeight="1" x14ac:dyDescent="0.15">
      <c r="A42" s="5" t="s">
        <v>311</v>
      </c>
      <c r="B42" s="5" t="s">
        <v>458</v>
      </c>
      <c r="C42" s="5" t="s">
        <v>9</v>
      </c>
      <c r="D42" s="5" t="s">
        <v>507</v>
      </c>
      <c r="E42" s="5" t="s">
        <v>331</v>
      </c>
      <c r="F42" s="5" t="s">
        <v>332</v>
      </c>
      <c r="G42" s="5" t="s">
        <v>333</v>
      </c>
      <c r="H42" s="5" t="s">
        <v>334</v>
      </c>
      <c r="I42" s="5" t="s">
        <v>47</v>
      </c>
      <c r="J42" s="5" t="s">
        <v>328</v>
      </c>
      <c r="K42" s="5" t="s">
        <v>329</v>
      </c>
      <c r="L42" s="5" t="s">
        <v>330</v>
      </c>
      <c r="M42" s="5" t="s">
        <v>23</v>
      </c>
      <c r="N42" s="9">
        <v>45238</v>
      </c>
      <c r="O42" s="9"/>
      <c r="P42" s="10" t="s">
        <v>24</v>
      </c>
      <c r="Q42" s="5" t="s">
        <v>25</v>
      </c>
      <c r="R42" s="5"/>
      <c r="S42" s="5" t="s">
        <v>436</v>
      </c>
      <c r="T42" s="16" t="str">
        <f>IF(F42="",E42,F42)</f>
        <v>ACQ68A</v>
      </c>
      <c r="U42" s="16" t="str">
        <f>H42&amp;I42</f>
        <v>创世纪顾锝新锐1号私募证券投资基金A类</v>
      </c>
      <c r="V42" s="17">
        <f>IF(O42="",N42,O42)</f>
        <v>45238</v>
      </c>
    </row>
    <row r="43" spans="1:22" ht="15" customHeight="1" x14ac:dyDescent="0.15">
      <c r="A43" s="5" t="s">
        <v>311</v>
      </c>
      <c r="B43" s="5" t="s">
        <v>458</v>
      </c>
      <c r="C43" s="5" t="s">
        <v>9</v>
      </c>
      <c r="D43" s="5" t="s">
        <v>10</v>
      </c>
      <c r="E43" s="5" t="s">
        <v>354</v>
      </c>
      <c r="F43" s="5" t="s">
        <v>1143</v>
      </c>
      <c r="G43" s="5"/>
      <c r="H43" s="5" t="s">
        <v>1142</v>
      </c>
      <c r="I43" s="5" t="s">
        <v>47</v>
      </c>
      <c r="J43" s="5" t="s">
        <v>328</v>
      </c>
      <c r="K43" s="5" t="s">
        <v>329</v>
      </c>
      <c r="L43" s="5" t="s">
        <v>330</v>
      </c>
      <c r="M43" s="5" t="s">
        <v>23</v>
      </c>
      <c r="N43" s="9">
        <v>45434</v>
      </c>
      <c r="O43" s="9"/>
      <c r="P43" s="10" t="s">
        <v>24</v>
      </c>
      <c r="Q43" s="5" t="s">
        <v>1139</v>
      </c>
      <c r="R43" s="5"/>
      <c r="S43" s="5" t="s">
        <v>436</v>
      </c>
      <c r="T43" s="16" t="str">
        <f>IF(F43="",E43,F43)</f>
        <v>ALA25A</v>
      </c>
      <c r="U43" s="16" t="str">
        <f>H43&amp;I43</f>
        <v>创世纪顾锝群英3号私募证券投资基金A类</v>
      </c>
      <c r="V43" s="17">
        <f>IF(O43="",N43,O43)</f>
        <v>45434</v>
      </c>
    </row>
    <row r="44" spans="1:22" ht="15" customHeight="1" x14ac:dyDescent="0.15">
      <c r="A44" s="5" t="s">
        <v>311</v>
      </c>
      <c r="B44" s="5" t="s">
        <v>457</v>
      </c>
      <c r="C44" s="5" t="s">
        <v>9</v>
      </c>
      <c r="D44" s="5" t="s">
        <v>10</v>
      </c>
      <c r="E44" s="5" t="s">
        <v>523</v>
      </c>
      <c r="F44" s="5" t="s">
        <v>1145</v>
      </c>
      <c r="G44" s="5"/>
      <c r="H44" s="5" t="s">
        <v>772</v>
      </c>
      <c r="I44" s="5" t="s">
        <v>47</v>
      </c>
      <c r="J44" s="5" t="s">
        <v>328</v>
      </c>
      <c r="K44" s="5" t="s">
        <v>329</v>
      </c>
      <c r="L44" s="5" t="s">
        <v>330</v>
      </c>
      <c r="M44" s="5" t="s">
        <v>398</v>
      </c>
      <c r="N44" s="9">
        <v>45530</v>
      </c>
      <c r="O44" s="9"/>
      <c r="P44" s="10" t="s">
        <v>24</v>
      </c>
      <c r="Q44" s="5" t="s">
        <v>1135</v>
      </c>
      <c r="R44" s="5"/>
      <c r="S44" s="5" t="s">
        <v>436</v>
      </c>
      <c r="T44" s="16" t="str">
        <f>IF(F44="",E44,F44)</f>
        <v>ANM92A</v>
      </c>
      <c r="U44" s="16" t="str">
        <f>H44&amp;I44</f>
        <v>创世纪顾锝屠龙1号私募证券投资基金A类</v>
      </c>
      <c r="V44" s="17">
        <f>IF(O44="",N44,O44)</f>
        <v>45530</v>
      </c>
    </row>
    <row r="45" spans="1:22" ht="15" customHeight="1" x14ac:dyDescent="0.15">
      <c r="A45" s="5" t="s">
        <v>311</v>
      </c>
      <c r="B45" s="5" t="s">
        <v>457</v>
      </c>
      <c r="C45" s="5" t="s">
        <v>9</v>
      </c>
      <c r="D45" s="5" t="s">
        <v>507</v>
      </c>
      <c r="E45" s="5" t="s">
        <v>335</v>
      </c>
      <c r="F45" s="5" t="s">
        <v>336</v>
      </c>
      <c r="G45" s="5" t="s">
        <v>336</v>
      </c>
      <c r="H45" s="5" t="s">
        <v>1167</v>
      </c>
      <c r="I45" s="5" t="s">
        <v>82</v>
      </c>
      <c r="J45" s="5" t="s">
        <v>337</v>
      </c>
      <c r="K45" s="5" t="s">
        <v>338</v>
      </c>
      <c r="L45" s="5" t="s">
        <v>339</v>
      </c>
      <c r="M45" s="5" t="s">
        <v>64</v>
      </c>
      <c r="N45" s="9">
        <v>43369</v>
      </c>
      <c r="O45" s="9"/>
      <c r="P45" s="10" t="s">
        <v>24</v>
      </c>
      <c r="Q45" s="5" t="s">
        <v>25</v>
      </c>
      <c r="R45" s="5" t="s">
        <v>1239</v>
      </c>
      <c r="S45" s="5" t="s">
        <v>436</v>
      </c>
      <c r="T45" s="16" t="str">
        <f>IF(F45="",E45,F45)</f>
        <v>EN677B</v>
      </c>
      <c r="U45" s="16" t="str">
        <f>H45&amp;I45</f>
        <v>博弈淘股吧5号私募证券投资基金B类</v>
      </c>
      <c r="V45" s="17">
        <f>IF(O45="",N45,O45)</f>
        <v>43369</v>
      </c>
    </row>
    <row r="46" spans="1:22" ht="15" customHeight="1" x14ac:dyDescent="0.15">
      <c r="A46" s="5" t="s">
        <v>446</v>
      </c>
      <c r="B46" s="5" t="s">
        <v>459</v>
      </c>
      <c r="C46" s="5" t="s">
        <v>9</v>
      </c>
      <c r="D46" s="5" t="s">
        <v>506</v>
      </c>
      <c r="E46" s="5" t="s">
        <v>530</v>
      </c>
      <c r="F46" s="5"/>
      <c r="G46" s="5"/>
      <c r="H46" s="5" t="s">
        <v>779</v>
      </c>
      <c r="I46" s="5"/>
      <c r="J46" s="5" t="s">
        <v>945</v>
      </c>
      <c r="K46" s="5" t="s">
        <v>946</v>
      </c>
      <c r="L46" s="5" t="s">
        <v>947</v>
      </c>
      <c r="M46" s="5" t="s">
        <v>398</v>
      </c>
      <c r="N46" s="9">
        <v>45972</v>
      </c>
      <c r="O46" s="9" t="s">
        <v>399</v>
      </c>
      <c r="P46" s="10"/>
      <c r="Q46" s="5" t="s">
        <v>1139</v>
      </c>
      <c r="R46" s="5"/>
      <c r="S46" s="5"/>
      <c r="T46" s="16" t="str">
        <f>IF(F46="",E46,F46)</f>
        <v>SBHD16</v>
      </c>
      <c r="U46" s="16" t="str">
        <f>H46&amp;I46</f>
        <v>凌鸿志星斗一号私募证券投资基金</v>
      </c>
      <c r="V46" s="17">
        <f>IF(O46="",N46,O46)</f>
        <v>45972</v>
      </c>
    </row>
    <row r="47" spans="1:22" ht="15" customHeight="1" x14ac:dyDescent="0.15">
      <c r="A47" s="5" t="s">
        <v>1329</v>
      </c>
      <c r="B47" s="5" t="s">
        <v>1330</v>
      </c>
      <c r="C47" s="5" t="s">
        <v>17</v>
      </c>
      <c r="D47" s="5" t="s">
        <v>10</v>
      </c>
      <c r="E47" s="5" t="s">
        <v>1340</v>
      </c>
      <c r="F47" s="5"/>
      <c r="G47" s="5"/>
      <c r="H47" s="5" t="s">
        <v>1341</v>
      </c>
      <c r="I47" s="5"/>
      <c r="J47" s="5" t="s">
        <v>1338</v>
      </c>
      <c r="K47" s="5" t="s">
        <v>1339</v>
      </c>
      <c r="L47" s="5"/>
      <c r="M47" s="5" t="s">
        <v>400</v>
      </c>
      <c r="N47" s="9">
        <v>45184</v>
      </c>
      <c r="O47" s="9">
        <v>45184</v>
      </c>
      <c r="P47" s="10"/>
      <c r="Q47" s="5"/>
      <c r="R47" s="5"/>
      <c r="S47" s="5"/>
      <c r="T47" s="16" t="str">
        <f>IF(F47="",E47,F47)</f>
        <v>SAAY94</v>
      </c>
      <c r="U47" s="16" t="str">
        <f>H47&amp;I47</f>
        <v>九招筑金多策略稳健1号私募证券投资基金</v>
      </c>
      <c r="V47" s="17">
        <f>IF(O47="",N47,O47)</f>
        <v>45184</v>
      </c>
    </row>
    <row r="48" spans="1:22" ht="15" customHeight="1" x14ac:dyDescent="0.15">
      <c r="A48" s="5" t="s">
        <v>447</v>
      </c>
      <c r="B48" s="5" t="s">
        <v>405</v>
      </c>
      <c r="C48" s="5" t="s">
        <v>17</v>
      </c>
      <c r="D48" s="5" t="s">
        <v>506</v>
      </c>
      <c r="E48" s="5" t="s">
        <v>531</v>
      </c>
      <c r="F48" s="5" t="s">
        <v>407</v>
      </c>
      <c r="G48" s="5"/>
      <c r="H48" s="5" t="s">
        <v>780</v>
      </c>
      <c r="I48" s="5" t="s">
        <v>82</v>
      </c>
      <c r="J48" s="5" t="s">
        <v>950</v>
      </c>
      <c r="K48" s="5" t="s">
        <v>951</v>
      </c>
      <c r="L48" s="5" t="s">
        <v>406</v>
      </c>
      <c r="M48" s="5" t="s">
        <v>23</v>
      </c>
      <c r="N48" s="9">
        <v>42807</v>
      </c>
      <c r="O48" s="9">
        <v>46022</v>
      </c>
      <c r="P48" s="10"/>
      <c r="Q48" s="5" t="s">
        <v>1135</v>
      </c>
      <c r="R48" s="5" t="s">
        <v>408</v>
      </c>
      <c r="S48" s="5"/>
      <c r="T48" s="16" t="str">
        <f>IF(F48="",E48,F48)</f>
        <v>S4433B</v>
      </c>
      <c r="U48" s="16" t="str">
        <f>H48&amp;I48</f>
        <v>平方和信享私募证券投资基金B类</v>
      </c>
      <c r="V48" s="17">
        <f>IF(O48="",N48,O48)</f>
        <v>46022</v>
      </c>
    </row>
    <row r="49" spans="1:22" ht="15" customHeight="1" x14ac:dyDescent="0.15">
      <c r="A49" s="5" t="s">
        <v>447</v>
      </c>
      <c r="B49" s="5" t="s">
        <v>405</v>
      </c>
      <c r="C49" s="5" t="s">
        <v>17</v>
      </c>
      <c r="D49" s="5" t="s">
        <v>10</v>
      </c>
      <c r="E49" s="5" t="s">
        <v>531</v>
      </c>
      <c r="F49" s="5"/>
      <c r="G49" s="5"/>
      <c r="H49" s="5" t="s">
        <v>780</v>
      </c>
      <c r="I49" s="5"/>
      <c r="J49" s="5" t="s">
        <v>950</v>
      </c>
      <c r="K49" s="5" t="s">
        <v>951</v>
      </c>
      <c r="L49" s="5" t="s">
        <v>406</v>
      </c>
      <c r="M49" s="5" t="s">
        <v>23</v>
      </c>
      <c r="N49" s="9">
        <v>42807</v>
      </c>
      <c r="O49" s="9" t="s">
        <v>399</v>
      </c>
      <c r="P49" s="10" t="e">
        <v>#N/A</v>
      </c>
      <c r="Q49" s="5" t="s">
        <v>1139</v>
      </c>
      <c r="R49" s="5" t="s">
        <v>399</v>
      </c>
      <c r="S49" s="5"/>
      <c r="T49" s="16" t="str">
        <f>IF(F49="",E49,F49)</f>
        <v>SS4433</v>
      </c>
      <c r="U49" s="16" t="str">
        <f>H49&amp;I49</f>
        <v>平方和信享私募证券投资基金</v>
      </c>
      <c r="V49" s="17">
        <f>IF(O49="",N49,O49)</f>
        <v>42807</v>
      </c>
    </row>
    <row r="50" spans="1:22" ht="15" customHeight="1" x14ac:dyDescent="0.15">
      <c r="A50" s="5" t="s">
        <v>447</v>
      </c>
      <c r="B50" s="5" t="s">
        <v>460</v>
      </c>
      <c r="C50" s="5" t="s">
        <v>9</v>
      </c>
      <c r="D50" s="5" t="s">
        <v>506</v>
      </c>
      <c r="E50" s="5" t="s">
        <v>532</v>
      </c>
      <c r="F50" s="5"/>
      <c r="G50" s="5"/>
      <c r="H50" s="5" t="s">
        <v>781</v>
      </c>
      <c r="I50" s="5"/>
      <c r="J50" s="5" t="s">
        <v>213</v>
      </c>
      <c r="K50" s="5" t="s">
        <v>214</v>
      </c>
      <c r="L50" s="5" t="s">
        <v>952</v>
      </c>
      <c r="M50" s="5" t="s">
        <v>400</v>
      </c>
      <c r="N50" s="9">
        <v>43965</v>
      </c>
      <c r="O50" s="9" t="s">
        <v>399</v>
      </c>
      <c r="P50" s="10"/>
      <c r="Q50" s="5" t="s">
        <v>1139</v>
      </c>
      <c r="R50" s="5"/>
      <c r="S50" s="5"/>
      <c r="T50" s="16" t="str">
        <f>IF(F50="",E50,F50)</f>
        <v>SGU369</v>
      </c>
      <c r="U50" s="16" t="str">
        <f>H50&amp;I50</f>
        <v>上海宽德金刚钻6号私募证券投资基金</v>
      </c>
      <c r="V50" s="17">
        <f>IF(O50="",N50,O50)</f>
        <v>43965</v>
      </c>
    </row>
    <row r="51" spans="1:22" ht="15" customHeight="1" x14ac:dyDescent="0.15">
      <c r="A51" s="5" t="s">
        <v>447</v>
      </c>
      <c r="B51" s="5" t="s">
        <v>461</v>
      </c>
      <c r="C51" s="5" t="s">
        <v>17</v>
      </c>
      <c r="D51" s="5" t="s">
        <v>506</v>
      </c>
      <c r="E51" s="5" t="s">
        <v>533</v>
      </c>
      <c r="F51" s="5" t="s">
        <v>672</v>
      </c>
      <c r="G51" s="5"/>
      <c r="H51" s="5" t="s">
        <v>782</v>
      </c>
      <c r="I51" s="5" t="s">
        <v>47</v>
      </c>
      <c r="J51" s="5" t="s">
        <v>244</v>
      </c>
      <c r="K51" s="5" t="s">
        <v>245</v>
      </c>
      <c r="L51" s="5" t="s">
        <v>953</v>
      </c>
      <c r="M51" s="5" t="s">
        <v>87</v>
      </c>
      <c r="N51" s="9">
        <v>44187</v>
      </c>
      <c r="O51" s="9">
        <v>44519</v>
      </c>
      <c r="P51" s="10"/>
      <c r="Q51" s="5" t="s">
        <v>1139</v>
      </c>
      <c r="R51" s="5" t="s">
        <v>1174</v>
      </c>
      <c r="S51" s="5"/>
      <c r="T51" s="16" t="str">
        <f>IF(F51="",E51,F51)</f>
        <v>NP130A</v>
      </c>
      <c r="U51" s="16" t="str">
        <f>H51&amp;I51</f>
        <v>量派对冲11号私募证券投资基金A类</v>
      </c>
      <c r="V51" s="17">
        <f>IF(O51="",N51,O51)</f>
        <v>44519</v>
      </c>
    </row>
    <row r="52" spans="1:22" ht="15" customHeight="1" x14ac:dyDescent="0.15">
      <c r="A52" s="5" t="s">
        <v>447</v>
      </c>
      <c r="B52" s="5" t="s">
        <v>301</v>
      </c>
      <c r="C52" s="5" t="s">
        <v>17</v>
      </c>
      <c r="D52" s="5" t="s">
        <v>506</v>
      </c>
      <c r="E52" s="5" t="s">
        <v>535</v>
      </c>
      <c r="F52" s="5" t="s">
        <v>673</v>
      </c>
      <c r="G52" s="5"/>
      <c r="H52" s="5" t="s">
        <v>784</v>
      </c>
      <c r="I52" s="5" t="s">
        <v>82</v>
      </c>
      <c r="J52" s="5" t="s">
        <v>954</v>
      </c>
      <c r="K52" s="5" t="s">
        <v>955</v>
      </c>
      <c r="L52" s="5"/>
      <c r="M52" s="5" t="s">
        <v>400</v>
      </c>
      <c r="N52" s="9">
        <v>45461</v>
      </c>
      <c r="O52" s="9">
        <v>45646</v>
      </c>
      <c r="P52" s="10"/>
      <c r="Q52" s="5" t="s">
        <v>1135</v>
      </c>
      <c r="R52" s="5" t="s">
        <v>1153</v>
      </c>
      <c r="S52" s="5"/>
      <c r="T52" s="16" t="str">
        <f>IF(F52="",E52,F52)</f>
        <v>AJR29B</v>
      </c>
      <c r="U52" s="16" t="str">
        <f>H52&amp;I52</f>
        <v>千衍六贞3号私募证券投资基金B类</v>
      </c>
      <c r="V52" s="17">
        <f>IF(O52="",N52,O52)</f>
        <v>45646</v>
      </c>
    </row>
    <row r="53" spans="1:22" ht="15" customHeight="1" x14ac:dyDescent="0.15">
      <c r="A53" s="5" t="s">
        <v>447</v>
      </c>
      <c r="B53" s="5" t="s">
        <v>301</v>
      </c>
      <c r="C53" s="5" t="s">
        <v>9</v>
      </c>
      <c r="D53" s="5" t="s">
        <v>10</v>
      </c>
      <c r="E53" s="5" t="s">
        <v>302</v>
      </c>
      <c r="F53" s="5" t="s">
        <v>671</v>
      </c>
      <c r="G53" s="5"/>
      <c r="H53" s="5" t="s">
        <v>1168</v>
      </c>
      <c r="I53" s="5" t="s">
        <v>82</v>
      </c>
      <c r="J53" s="5" t="s">
        <v>137</v>
      </c>
      <c r="K53" s="5" t="s">
        <v>138</v>
      </c>
      <c r="L53" s="5" t="s">
        <v>948</v>
      </c>
      <c r="M53" s="5" t="s">
        <v>87</v>
      </c>
      <c r="N53" s="9">
        <v>43633</v>
      </c>
      <c r="O53" s="9">
        <v>45058</v>
      </c>
      <c r="P53" s="10" t="e">
        <v>#N/A</v>
      </c>
      <c r="Q53" s="5" t="s">
        <v>1139</v>
      </c>
      <c r="R53" s="5" t="s">
        <v>1169</v>
      </c>
      <c r="S53" s="5"/>
      <c r="T53" s="16" t="str">
        <f>IF(F53="",E53,F53)</f>
        <v>GQ683B</v>
      </c>
      <c r="U53" s="16" t="str">
        <f>H53&amp;I53</f>
        <v>黑翼市场中性3号私募证券投资基金B类</v>
      </c>
      <c r="V53" s="17">
        <f>IF(O53="",N53,O53)</f>
        <v>45058</v>
      </c>
    </row>
    <row r="54" spans="1:22" ht="15" customHeight="1" x14ac:dyDescent="0.15">
      <c r="A54" s="5" t="s">
        <v>447</v>
      </c>
      <c r="B54" s="5" t="s">
        <v>301</v>
      </c>
      <c r="C54" s="5" t="s">
        <v>17</v>
      </c>
      <c r="D54" s="5" t="s">
        <v>10</v>
      </c>
      <c r="E54" s="5" t="s">
        <v>534</v>
      </c>
      <c r="F54" s="5"/>
      <c r="G54" s="5"/>
      <c r="H54" s="5" t="s">
        <v>783</v>
      </c>
      <c r="I54" s="5"/>
      <c r="J54" s="5" t="s">
        <v>954</v>
      </c>
      <c r="K54" s="5" t="s">
        <v>955</v>
      </c>
      <c r="L54" s="5" t="s">
        <v>956</v>
      </c>
      <c r="M54" s="5" t="s">
        <v>400</v>
      </c>
      <c r="N54" s="9">
        <v>45222</v>
      </c>
      <c r="O54" s="9" t="s">
        <v>399</v>
      </c>
      <c r="P54" s="10" t="e">
        <v>#N/A</v>
      </c>
      <c r="Q54" s="5" t="s">
        <v>1139</v>
      </c>
      <c r="R54" s="5"/>
      <c r="S54" s="5"/>
      <c r="T54" s="16" t="str">
        <f>IF(F54="",E54,F54)</f>
        <v>SACG52</v>
      </c>
      <c r="U54" s="16" t="str">
        <f>H54&amp;I54</f>
        <v>千衍六贞1号私募证券投资基金</v>
      </c>
      <c r="V54" s="17">
        <f>IF(O54="",N54,O54)</f>
        <v>45222</v>
      </c>
    </row>
    <row r="55" spans="1:22" ht="15" customHeight="1" x14ac:dyDescent="0.15">
      <c r="A55" s="5" t="s">
        <v>447</v>
      </c>
      <c r="B55" s="5" t="s">
        <v>301</v>
      </c>
      <c r="C55" s="5" t="s">
        <v>17</v>
      </c>
      <c r="D55" s="5" t="s">
        <v>506</v>
      </c>
      <c r="E55" s="5" t="s">
        <v>307</v>
      </c>
      <c r="F55" s="5"/>
      <c r="G55" s="5"/>
      <c r="H55" s="5" t="s">
        <v>308</v>
      </c>
      <c r="I55" s="5"/>
      <c r="J55" s="5" t="s">
        <v>309</v>
      </c>
      <c r="K55" s="5" t="s">
        <v>310</v>
      </c>
      <c r="L55" s="5" t="s">
        <v>949</v>
      </c>
      <c r="M55" s="5" t="s">
        <v>87</v>
      </c>
      <c r="N55" s="9">
        <v>43756</v>
      </c>
      <c r="O55" s="9"/>
      <c r="P55" s="10" t="e">
        <v>#N/A</v>
      </c>
      <c r="Q55" s="5" t="s">
        <v>1135</v>
      </c>
      <c r="R55" s="5"/>
      <c r="S55" s="5"/>
      <c r="T55" s="16" t="str">
        <f>IF(F55="",E55,F55)</f>
        <v>SJE634</v>
      </c>
      <c r="U55" s="16" t="str">
        <f>H55&amp;I55</f>
        <v>孝庸玉貔貅三号私募证券投资基金</v>
      </c>
      <c r="V55" s="17">
        <f>IF(O55="",N55,O55)</f>
        <v>43756</v>
      </c>
    </row>
    <row r="56" spans="1:22" ht="15" customHeight="1" x14ac:dyDescent="0.15">
      <c r="A56" s="5" t="s">
        <v>447</v>
      </c>
      <c r="B56" s="5" t="s">
        <v>301</v>
      </c>
      <c r="C56" s="5" t="s">
        <v>9</v>
      </c>
      <c r="D56" s="5" t="s">
        <v>506</v>
      </c>
      <c r="E56" s="5" t="s">
        <v>303</v>
      </c>
      <c r="F56" s="5"/>
      <c r="G56" s="5"/>
      <c r="H56" s="5" t="s">
        <v>304</v>
      </c>
      <c r="I56" s="5"/>
      <c r="J56" s="5" t="s">
        <v>305</v>
      </c>
      <c r="K56" s="5" t="s">
        <v>306</v>
      </c>
      <c r="L56" s="5"/>
      <c r="M56" s="5" t="s">
        <v>87</v>
      </c>
      <c r="N56" s="9">
        <v>44281</v>
      </c>
      <c r="O56" s="9"/>
      <c r="P56" s="10" t="e">
        <v>#N/A</v>
      </c>
      <c r="Q56" s="5" t="s">
        <v>1135</v>
      </c>
      <c r="R56" s="5"/>
      <c r="S56" s="5"/>
      <c r="T56" s="16" t="str">
        <f>IF(F56="",E56,F56)</f>
        <v>SQG239</v>
      </c>
      <c r="U56" s="16" t="str">
        <f>H56&amp;I56</f>
        <v>珠海宽德金刚钻12号私募证券投资基金</v>
      </c>
      <c r="V56" s="17">
        <f>IF(O56="",N56,O56)</f>
        <v>44281</v>
      </c>
    </row>
    <row r="57" spans="1:22" ht="15" customHeight="1" x14ac:dyDescent="0.15">
      <c r="A57" s="5" t="s">
        <v>447</v>
      </c>
      <c r="B57" s="5" t="s">
        <v>462</v>
      </c>
      <c r="C57" s="5" t="s">
        <v>27</v>
      </c>
      <c r="D57" s="5" t="s">
        <v>506</v>
      </c>
      <c r="E57" s="5" t="s">
        <v>536</v>
      </c>
      <c r="F57" s="5" t="s">
        <v>409</v>
      </c>
      <c r="G57" s="5"/>
      <c r="H57" s="5" t="s">
        <v>785</v>
      </c>
      <c r="I57" s="5" t="s">
        <v>82</v>
      </c>
      <c r="J57" s="5" t="s">
        <v>957</v>
      </c>
      <c r="K57" s="5" t="s">
        <v>958</v>
      </c>
      <c r="L57" s="5" t="s">
        <v>959</v>
      </c>
      <c r="M57" s="5" t="s">
        <v>400</v>
      </c>
      <c r="N57" s="9">
        <v>44763</v>
      </c>
      <c r="O57" s="9">
        <v>46045</v>
      </c>
      <c r="P57" s="10"/>
      <c r="Q57" s="5" t="s">
        <v>1135</v>
      </c>
      <c r="R57" s="5" t="s">
        <v>410</v>
      </c>
      <c r="S57" s="5"/>
      <c r="T57" s="16" t="str">
        <f>IF(F57="",E57,F57)</f>
        <v>SP607B</v>
      </c>
      <c r="U57" s="16" t="str">
        <f>H57&amp;I57</f>
        <v>申毅格物39号私募证券投资基金B类</v>
      </c>
      <c r="V57" s="17">
        <f>IF(O57="",N57,O57)</f>
        <v>46045</v>
      </c>
    </row>
    <row r="58" spans="1:22" ht="15" customHeight="1" x14ac:dyDescent="0.15">
      <c r="A58" s="5" t="s">
        <v>448</v>
      </c>
      <c r="B58" s="5" t="s">
        <v>463</v>
      </c>
      <c r="C58" s="5" t="s">
        <v>27</v>
      </c>
      <c r="D58" s="5" t="s">
        <v>506</v>
      </c>
      <c r="E58" s="5" t="s">
        <v>537</v>
      </c>
      <c r="F58" s="5" t="s">
        <v>674</v>
      </c>
      <c r="G58" s="5"/>
      <c r="H58" s="5" t="s">
        <v>786</v>
      </c>
      <c r="I58" s="5" t="s">
        <v>82</v>
      </c>
      <c r="J58" s="5" t="s">
        <v>137</v>
      </c>
      <c r="K58" s="5" t="s">
        <v>138</v>
      </c>
      <c r="L58" s="5" t="s">
        <v>960</v>
      </c>
      <c r="M58" s="5" t="s">
        <v>42</v>
      </c>
      <c r="N58" s="9">
        <v>44461</v>
      </c>
      <c r="O58" s="9">
        <v>44750</v>
      </c>
      <c r="P58" s="10"/>
      <c r="Q58" s="5" t="s">
        <v>1139</v>
      </c>
      <c r="R58" s="5" t="s">
        <v>411</v>
      </c>
      <c r="S58" s="5"/>
      <c r="T58" s="16" t="str">
        <f>IF(F58="",E58,F58)</f>
        <v>SM176B</v>
      </c>
      <c r="U58" s="16" t="str">
        <f>H58&amp;I58</f>
        <v>黑翼优选灵泰多策略运作1号私募证券投资基金B类</v>
      </c>
      <c r="V58" s="17">
        <f>IF(O58="",N58,O58)</f>
        <v>44750</v>
      </c>
    </row>
    <row r="59" spans="1:22" ht="15" customHeight="1" x14ac:dyDescent="0.15">
      <c r="A59" s="5" t="s">
        <v>448</v>
      </c>
      <c r="B59" s="5" t="s">
        <v>464</v>
      </c>
      <c r="C59" s="5" t="s">
        <v>504</v>
      </c>
      <c r="D59" s="5" t="s">
        <v>506</v>
      </c>
      <c r="E59" s="5" t="s">
        <v>538</v>
      </c>
      <c r="F59" s="5" t="s">
        <v>675</v>
      </c>
      <c r="G59" s="5"/>
      <c r="H59" s="5" t="s">
        <v>787</v>
      </c>
      <c r="I59" s="5" t="s">
        <v>82</v>
      </c>
      <c r="J59" s="5" t="s">
        <v>93</v>
      </c>
      <c r="K59" s="5" t="s">
        <v>914</v>
      </c>
      <c r="L59" s="5" t="s">
        <v>95</v>
      </c>
      <c r="M59" s="5" t="s">
        <v>400</v>
      </c>
      <c r="N59" s="9">
        <v>44608</v>
      </c>
      <c r="O59" s="9">
        <v>45652</v>
      </c>
      <c r="P59" s="10"/>
      <c r="Q59" s="5" t="s">
        <v>1139</v>
      </c>
      <c r="R59" s="5" t="s">
        <v>1219</v>
      </c>
      <c r="S59" s="5"/>
      <c r="T59" s="16" t="str">
        <f>IF(F59="",E59,F59)</f>
        <v>TV890B</v>
      </c>
      <c r="U59" s="16" t="str">
        <f>H59&amp;I59</f>
        <v>臻选之常私募证券投资基金B类</v>
      </c>
      <c r="V59" s="17">
        <f>IF(O59="",N59,O59)</f>
        <v>45652</v>
      </c>
    </row>
    <row r="60" spans="1:22" ht="15" customHeight="1" x14ac:dyDescent="0.15">
      <c r="A60" s="5" t="s">
        <v>277</v>
      </c>
      <c r="B60" s="5" t="s">
        <v>278</v>
      </c>
      <c r="C60" s="5" t="s">
        <v>27</v>
      </c>
      <c r="D60" s="5" t="s">
        <v>506</v>
      </c>
      <c r="E60" s="5" t="s">
        <v>586</v>
      </c>
      <c r="F60" s="5" t="s">
        <v>708</v>
      </c>
      <c r="G60" s="5"/>
      <c r="H60" s="5" t="s">
        <v>843</v>
      </c>
      <c r="I60" s="5" t="s">
        <v>47</v>
      </c>
      <c r="J60" s="5" t="s">
        <v>969</v>
      </c>
      <c r="K60" s="5" t="s">
        <v>970</v>
      </c>
      <c r="L60" s="5" t="s">
        <v>998</v>
      </c>
      <c r="M60" s="5" t="s">
        <v>237</v>
      </c>
      <c r="N60" s="9">
        <v>44518</v>
      </c>
      <c r="O60" s="9">
        <v>45919</v>
      </c>
      <c r="P60" s="10"/>
      <c r="Q60" s="5" t="s">
        <v>1135</v>
      </c>
      <c r="R60" s="5" t="s">
        <v>1217</v>
      </c>
      <c r="S60" s="5" t="s">
        <v>493</v>
      </c>
      <c r="T60" s="16" t="str">
        <f>IF(F60="",E60,F60)</f>
        <v>TC569A</v>
      </c>
      <c r="U60" s="16" t="str">
        <f>H60&amp;I60</f>
        <v>玄信星选1000指数增强2号私募证券投资基金A类</v>
      </c>
      <c r="V60" s="17">
        <f>IF(O60="",N60,O60)</f>
        <v>45919</v>
      </c>
    </row>
    <row r="61" spans="1:22" ht="15" customHeight="1" x14ac:dyDescent="0.15">
      <c r="A61" s="5" t="s">
        <v>277</v>
      </c>
      <c r="B61" s="5" t="s">
        <v>278</v>
      </c>
      <c r="C61" s="5" t="s">
        <v>9</v>
      </c>
      <c r="D61" s="5" t="s">
        <v>10</v>
      </c>
      <c r="E61" s="5" t="s">
        <v>542</v>
      </c>
      <c r="F61" s="5"/>
      <c r="G61" s="5"/>
      <c r="H61" s="5" t="s">
        <v>300</v>
      </c>
      <c r="I61" s="5"/>
      <c r="J61" s="5" t="s">
        <v>200</v>
      </c>
      <c r="K61" s="5" t="s">
        <v>201</v>
      </c>
      <c r="L61" s="5" t="s">
        <v>202</v>
      </c>
      <c r="M61" s="5" t="s">
        <v>398</v>
      </c>
      <c r="N61" s="9">
        <v>45554</v>
      </c>
      <c r="O61" s="9"/>
      <c r="P61" s="10" t="e">
        <v>#N/A</v>
      </c>
      <c r="Q61" s="5" t="s">
        <v>1139</v>
      </c>
      <c r="R61" s="5"/>
      <c r="S61" s="5" t="s">
        <v>488</v>
      </c>
      <c r="T61" s="16" t="str">
        <f>IF(F61="",E61,F61)</f>
        <v>SAPD01</v>
      </c>
      <c r="U61" s="16" t="str">
        <f>H61&amp;I61</f>
        <v>乐水海浪对冲一号私募证券投资基金</v>
      </c>
      <c r="V61" s="17">
        <f>IF(O61="",N61,O61)</f>
        <v>45554</v>
      </c>
    </row>
    <row r="62" spans="1:22" ht="15" customHeight="1" x14ac:dyDescent="0.15">
      <c r="A62" s="5" t="s">
        <v>277</v>
      </c>
      <c r="B62" s="5" t="s">
        <v>278</v>
      </c>
      <c r="C62" s="5" t="s">
        <v>17</v>
      </c>
      <c r="D62" s="5" t="s">
        <v>506</v>
      </c>
      <c r="E62" s="5" t="s">
        <v>541</v>
      </c>
      <c r="F62" s="5"/>
      <c r="G62" s="5"/>
      <c r="H62" s="5" t="s">
        <v>790</v>
      </c>
      <c r="I62" s="5"/>
      <c r="J62" s="5" t="s">
        <v>200</v>
      </c>
      <c r="K62" s="5" t="s">
        <v>201</v>
      </c>
      <c r="L62" s="5" t="s">
        <v>202</v>
      </c>
      <c r="M62" s="5" t="s">
        <v>400</v>
      </c>
      <c r="N62" s="9">
        <v>45700</v>
      </c>
      <c r="O62" s="9" t="s">
        <v>399</v>
      </c>
      <c r="P62" s="10"/>
      <c r="Q62" s="5" t="s">
        <v>1139</v>
      </c>
      <c r="R62" s="5"/>
      <c r="S62" s="5" t="s">
        <v>488</v>
      </c>
      <c r="T62" s="16" t="str">
        <f>IF(F62="",E62,F62)</f>
        <v>SATT89</v>
      </c>
      <c r="U62" s="16" t="str">
        <f>H62&amp;I62</f>
        <v>乐水海浪对冲二号私募证券投资基金</v>
      </c>
      <c r="V62" s="17">
        <f>IF(O62="",N62,O62)</f>
        <v>45700</v>
      </c>
    </row>
    <row r="63" spans="1:22" ht="15" customHeight="1" x14ac:dyDescent="0.15">
      <c r="A63" s="5" t="s">
        <v>277</v>
      </c>
      <c r="B63" s="5" t="s">
        <v>278</v>
      </c>
      <c r="C63" s="5" t="s">
        <v>505</v>
      </c>
      <c r="D63" s="5" t="s">
        <v>506</v>
      </c>
      <c r="E63" s="5" t="s">
        <v>1280</v>
      </c>
      <c r="F63" s="5" t="s">
        <v>1281</v>
      </c>
      <c r="G63" s="5"/>
      <c r="H63" s="5" t="s">
        <v>1282</v>
      </c>
      <c r="I63" s="5" t="s">
        <v>82</v>
      </c>
      <c r="J63" s="5" t="s">
        <v>1283</v>
      </c>
      <c r="K63" s="5" t="s">
        <v>1284</v>
      </c>
      <c r="L63" s="5"/>
      <c r="M63" s="5" t="s">
        <v>23</v>
      </c>
      <c r="N63" s="9">
        <v>44847</v>
      </c>
      <c r="O63" s="9">
        <v>45674</v>
      </c>
      <c r="P63" s="10"/>
      <c r="Q63" s="5"/>
      <c r="R63" s="5" t="s">
        <v>399</v>
      </c>
      <c r="S63" s="5" t="s">
        <v>1324</v>
      </c>
      <c r="T63" s="16" t="str">
        <f>IF(F63="",E63,F63)</f>
        <v>XL686B</v>
      </c>
      <c r="U63" s="16" t="str">
        <f>H63&amp;I63</f>
        <v>陆生生量化中性进取2号私募证券投资基金B类</v>
      </c>
      <c r="V63" s="17">
        <f>IF(O63="",N63,O63)</f>
        <v>45674</v>
      </c>
    </row>
    <row r="64" spans="1:22" ht="15" customHeight="1" x14ac:dyDescent="0.15">
      <c r="A64" s="5" t="s">
        <v>277</v>
      </c>
      <c r="B64" s="5" t="s">
        <v>278</v>
      </c>
      <c r="C64" s="5" t="s">
        <v>9</v>
      </c>
      <c r="D64" s="5" t="s">
        <v>10</v>
      </c>
      <c r="E64" s="5" t="s">
        <v>290</v>
      </c>
      <c r="F64" s="5"/>
      <c r="G64" s="5"/>
      <c r="H64" s="5" t="s">
        <v>291</v>
      </c>
      <c r="I64" s="5"/>
      <c r="J64" s="5" t="s">
        <v>200</v>
      </c>
      <c r="K64" s="5" t="s">
        <v>201</v>
      </c>
      <c r="L64" s="5" t="s">
        <v>202</v>
      </c>
      <c r="M64" s="5" t="s">
        <v>398</v>
      </c>
      <c r="N64" s="9">
        <v>45581</v>
      </c>
      <c r="O64" s="9"/>
      <c r="P64" s="10" t="e">
        <v>#N/A</v>
      </c>
      <c r="Q64" s="5" t="s">
        <v>1139</v>
      </c>
      <c r="R64" s="5"/>
      <c r="S64" s="5" t="s">
        <v>489</v>
      </c>
      <c r="T64" s="16" t="str">
        <f>IF(F64="",E64,F64)</f>
        <v>SAPT12</v>
      </c>
      <c r="U64" s="16" t="str">
        <f>H64&amp;I64</f>
        <v>乐水灵泽对冲一号私募证券投资基金</v>
      </c>
      <c r="V64" s="17">
        <f>IF(O64="",N64,O64)</f>
        <v>45581</v>
      </c>
    </row>
    <row r="65" spans="1:22" ht="15" customHeight="1" x14ac:dyDescent="0.15">
      <c r="A65" s="5" t="s">
        <v>277</v>
      </c>
      <c r="B65" s="5" t="s">
        <v>278</v>
      </c>
      <c r="C65" s="5" t="s">
        <v>9</v>
      </c>
      <c r="D65" s="5" t="s">
        <v>10</v>
      </c>
      <c r="E65" s="5" t="s">
        <v>288</v>
      </c>
      <c r="F65" s="5"/>
      <c r="G65" s="5"/>
      <c r="H65" s="5" t="s">
        <v>289</v>
      </c>
      <c r="I65" s="5"/>
      <c r="J65" s="5" t="s">
        <v>200</v>
      </c>
      <c r="K65" s="5" t="s">
        <v>201</v>
      </c>
      <c r="L65" s="5" t="s">
        <v>202</v>
      </c>
      <c r="M65" s="5" t="s">
        <v>237</v>
      </c>
      <c r="N65" s="9">
        <v>45141</v>
      </c>
      <c r="O65" s="9"/>
      <c r="P65" s="10" t="e">
        <v>#N/A</v>
      </c>
      <c r="Q65" s="5" t="s">
        <v>1139</v>
      </c>
      <c r="R65" s="5"/>
      <c r="S65" s="5" t="s">
        <v>490</v>
      </c>
      <c r="T65" s="16" t="str">
        <f>IF(F65="",E65,F65)</f>
        <v>SB1275</v>
      </c>
      <c r="U65" s="16" t="str">
        <f>H65&amp;I65</f>
        <v>乐水天清对冲一号私募证券投资基金</v>
      </c>
      <c r="V65" s="17">
        <f>IF(O65="",N65,O65)</f>
        <v>45141</v>
      </c>
    </row>
    <row r="66" spans="1:22" ht="15" customHeight="1" x14ac:dyDescent="0.15">
      <c r="A66" s="5" t="s">
        <v>277</v>
      </c>
      <c r="B66" s="5" t="s">
        <v>278</v>
      </c>
      <c r="C66" s="5" t="s">
        <v>9</v>
      </c>
      <c r="D66" s="5" t="s">
        <v>506</v>
      </c>
      <c r="E66" s="5" t="s">
        <v>292</v>
      </c>
      <c r="F66" s="5"/>
      <c r="G66" s="5" t="s">
        <v>292</v>
      </c>
      <c r="H66" s="5" t="s">
        <v>293</v>
      </c>
      <c r="I66" s="5"/>
      <c r="J66" s="5" t="s">
        <v>200</v>
      </c>
      <c r="K66" s="5" t="s">
        <v>201</v>
      </c>
      <c r="L66" s="5" t="s">
        <v>967</v>
      </c>
      <c r="M66" s="5" t="s">
        <v>398</v>
      </c>
      <c r="N66" s="9">
        <v>45086</v>
      </c>
      <c r="O66" s="9"/>
      <c r="P66" s="10" t="e">
        <v>#N/A</v>
      </c>
      <c r="Q66" s="5" t="s">
        <v>25</v>
      </c>
      <c r="R66" s="5"/>
      <c r="S66" s="5" t="s">
        <v>490</v>
      </c>
      <c r="T66" s="16" t="str">
        <f>IF(F66="",E66,F66)</f>
        <v>SB1291</v>
      </c>
      <c r="U66" s="16" t="str">
        <f>H66&amp;I66</f>
        <v>乐水天清对冲二号私募证券投资基金</v>
      </c>
      <c r="V66" s="17">
        <f>IF(O66="",N66,O66)</f>
        <v>45086</v>
      </c>
    </row>
    <row r="67" spans="1:22" ht="15" customHeight="1" x14ac:dyDescent="0.15">
      <c r="A67" s="5" t="s">
        <v>277</v>
      </c>
      <c r="B67" s="5" t="s">
        <v>278</v>
      </c>
      <c r="C67" s="5" t="s">
        <v>9</v>
      </c>
      <c r="D67" s="5" t="s">
        <v>10</v>
      </c>
      <c r="E67" s="5" t="s">
        <v>286</v>
      </c>
      <c r="F67" s="5"/>
      <c r="G67" s="5" t="s">
        <v>286</v>
      </c>
      <c r="H67" s="5" t="s">
        <v>795</v>
      </c>
      <c r="I67" s="5"/>
      <c r="J67" s="5" t="s">
        <v>200</v>
      </c>
      <c r="K67" s="5" t="s">
        <v>201</v>
      </c>
      <c r="L67" s="5" t="s">
        <v>287</v>
      </c>
      <c r="M67" s="5" t="s">
        <v>398</v>
      </c>
      <c r="N67" s="9">
        <v>45400</v>
      </c>
      <c r="O67" s="9"/>
      <c r="P67" s="10" t="e">
        <v>#N/A</v>
      </c>
      <c r="Q67" s="5" t="s">
        <v>25</v>
      </c>
      <c r="R67" s="5"/>
      <c r="S67" s="5" t="s">
        <v>491</v>
      </c>
      <c r="T67" s="16" t="str">
        <f>IF(F67="",E67,F67)</f>
        <v>SAJT84</v>
      </c>
      <c r="U67" s="16" t="str">
        <f>H67&amp;I67</f>
        <v>乐水谷盈对冲三号私募证券投资基金</v>
      </c>
      <c r="V67" s="17">
        <f>IF(O67="",N67,O67)</f>
        <v>45400</v>
      </c>
    </row>
    <row r="68" spans="1:22" ht="15" customHeight="1" x14ac:dyDescent="0.15">
      <c r="A68" s="5" t="s">
        <v>277</v>
      </c>
      <c r="B68" s="5" t="s">
        <v>278</v>
      </c>
      <c r="C68" s="5"/>
      <c r="D68" s="5" t="s">
        <v>10</v>
      </c>
      <c r="E68" s="5" t="s">
        <v>1249</v>
      </c>
      <c r="F68" s="5" t="s">
        <v>1250</v>
      </c>
      <c r="G68" s="5"/>
      <c r="H68" s="5" t="s">
        <v>1251</v>
      </c>
      <c r="I68" s="5" t="s">
        <v>82</v>
      </c>
      <c r="J68" s="5" t="s">
        <v>1073</v>
      </c>
      <c r="K68" s="5" t="s">
        <v>1074</v>
      </c>
      <c r="L68" s="5"/>
      <c r="M68" s="5" t="s">
        <v>400</v>
      </c>
      <c r="N68" s="9">
        <v>45771</v>
      </c>
      <c r="O68" s="9">
        <v>45891</v>
      </c>
      <c r="P68" s="10"/>
      <c r="Q68" s="5"/>
      <c r="R68" s="5"/>
      <c r="S68" s="5"/>
      <c r="T68" s="16" t="str">
        <f>IF(F68="",E68,F68)</f>
        <v>AWD21B</v>
      </c>
      <c r="U68" s="16" t="str">
        <f>H68&amp;I68</f>
        <v>积沐稳健1号私募证券投资基金B类</v>
      </c>
      <c r="V68" s="17">
        <f>IF(O68="",N68,O68)</f>
        <v>45891</v>
      </c>
    </row>
    <row r="69" spans="1:22" ht="15" customHeight="1" x14ac:dyDescent="0.15">
      <c r="A69" s="5" t="s">
        <v>277</v>
      </c>
      <c r="B69" s="5" t="s">
        <v>278</v>
      </c>
      <c r="C69" s="5" t="s">
        <v>27</v>
      </c>
      <c r="D69" s="5" t="s">
        <v>506</v>
      </c>
      <c r="E69" s="5" t="s">
        <v>359</v>
      </c>
      <c r="F69" s="5" t="s">
        <v>678</v>
      </c>
      <c r="G69" s="5"/>
      <c r="H69" s="5" t="s">
        <v>793</v>
      </c>
      <c r="I69" s="5" t="s">
        <v>82</v>
      </c>
      <c r="J69" s="5" t="s">
        <v>309</v>
      </c>
      <c r="K69" s="5" t="s">
        <v>310</v>
      </c>
      <c r="L69" s="5"/>
      <c r="M69" s="5" t="s">
        <v>398</v>
      </c>
      <c r="N69" s="9">
        <v>45106</v>
      </c>
      <c r="O69" s="9"/>
      <c r="P69" s="10" t="e">
        <v>#N/A</v>
      </c>
      <c r="Q69" s="5" t="s">
        <v>1135</v>
      </c>
      <c r="R69" s="5"/>
      <c r="S69" s="5"/>
      <c r="T69" s="16" t="str">
        <f>IF(F69="",E69,F69)</f>
        <v>B3935B</v>
      </c>
      <c r="U69" s="16" t="str">
        <f>H69&amp;I69</f>
        <v>孝庸市场中性一号私募证券投资基金B类</v>
      </c>
      <c r="V69" s="17">
        <f>IF(O69="",N69,O69)</f>
        <v>45106</v>
      </c>
    </row>
    <row r="70" spans="1:22" ht="15" customHeight="1" x14ac:dyDescent="0.15">
      <c r="A70" s="5" t="s">
        <v>277</v>
      </c>
      <c r="B70" s="5" t="s">
        <v>278</v>
      </c>
      <c r="C70" s="5" t="s">
        <v>17</v>
      </c>
      <c r="D70" s="5" t="s">
        <v>506</v>
      </c>
      <c r="E70" s="5" t="s">
        <v>543</v>
      </c>
      <c r="F70" s="5" t="s">
        <v>677</v>
      </c>
      <c r="G70" s="5"/>
      <c r="H70" s="5" t="s">
        <v>791</v>
      </c>
      <c r="I70" s="5" t="s">
        <v>82</v>
      </c>
      <c r="J70" s="5" t="s">
        <v>950</v>
      </c>
      <c r="K70" s="5" t="s">
        <v>951</v>
      </c>
      <c r="L70" s="5" t="s">
        <v>968</v>
      </c>
      <c r="M70" s="5" t="s">
        <v>106</v>
      </c>
      <c r="N70" s="9">
        <v>45980</v>
      </c>
      <c r="O70" s="9" t="s">
        <v>399</v>
      </c>
      <c r="P70" s="10"/>
      <c r="Q70" s="5" t="s">
        <v>1135</v>
      </c>
      <c r="R70" s="5"/>
      <c r="S70" s="5"/>
      <c r="T70" s="16" t="str">
        <f>IF(F70="",E70,F70)</f>
        <v>BKR51B</v>
      </c>
      <c r="U70" s="16" t="str">
        <f>H70&amp;I70</f>
        <v>平方和衡盛31号私募证券投资基金B类</v>
      </c>
      <c r="V70" s="17">
        <f>IF(O70="",N70,O70)</f>
        <v>45980</v>
      </c>
    </row>
    <row r="71" spans="1:22" ht="15" customHeight="1" x14ac:dyDescent="0.15">
      <c r="A71" s="5" t="s">
        <v>277</v>
      </c>
      <c r="B71" s="5" t="s">
        <v>278</v>
      </c>
      <c r="C71" s="5" t="s">
        <v>17</v>
      </c>
      <c r="D71" s="5" t="s">
        <v>10</v>
      </c>
      <c r="E71" s="5" t="s">
        <v>279</v>
      </c>
      <c r="F71" s="5" t="s">
        <v>280</v>
      </c>
      <c r="G71" s="5" t="s">
        <v>281</v>
      </c>
      <c r="H71" s="5" t="s">
        <v>282</v>
      </c>
      <c r="I71" s="5" t="s">
        <v>82</v>
      </c>
      <c r="J71" s="5" t="s">
        <v>283</v>
      </c>
      <c r="K71" s="5" t="s">
        <v>284</v>
      </c>
      <c r="L71" s="5" t="s">
        <v>285</v>
      </c>
      <c r="M71" s="5" t="s">
        <v>23</v>
      </c>
      <c r="N71" s="9">
        <v>43976</v>
      </c>
      <c r="O71" s="9">
        <v>44316</v>
      </c>
      <c r="P71" s="10" t="e">
        <v>#N/A</v>
      </c>
      <c r="Q71" s="5" t="s">
        <v>25</v>
      </c>
      <c r="R71" s="5"/>
      <c r="S71" s="5"/>
      <c r="T71" s="16" t="str">
        <f>IF(F71="",E71,F71)</f>
        <v>LD035B</v>
      </c>
      <c r="U71" s="16" t="str">
        <f>H71&amp;I71</f>
        <v>同温层量化阿尔法1号证券投资私募基金B类</v>
      </c>
      <c r="V71" s="17">
        <f>IF(O71="",N71,O71)</f>
        <v>44316</v>
      </c>
    </row>
    <row r="72" spans="1:22" ht="15" customHeight="1" x14ac:dyDescent="0.15">
      <c r="A72" s="5" t="s">
        <v>277</v>
      </c>
      <c r="B72" s="5" t="s">
        <v>278</v>
      </c>
      <c r="C72" s="5" t="s">
        <v>17</v>
      </c>
      <c r="D72" s="5" t="s">
        <v>506</v>
      </c>
      <c r="E72" s="5" t="s">
        <v>585</v>
      </c>
      <c r="F72" s="5" t="s">
        <v>707</v>
      </c>
      <c r="G72" s="5"/>
      <c r="H72" s="5" t="s">
        <v>842</v>
      </c>
      <c r="I72" s="5" t="s">
        <v>82</v>
      </c>
      <c r="J72" s="5" t="s">
        <v>1032</v>
      </c>
      <c r="K72" s="5" t="s">
        <v>1033</v>
      </c>
      <c r="L72" s="5" t="s">
        <v>1034</v>
      </c>
      <c r="M72" s="5" t="s">
        <v>23</v>
      </c>
      <c r="N72" s="9">
        <v>44447</v>
      </c>
      <c r="O72" s="9">
        <v>45723</v>
      </c>
      <c r="P72" s="10"/>
      <c r="Q72" s="5" t="s">
        <v>1135</v>
      </c>
      <c r="R72" s="5" t="s">
        <v>427</v>
      </c>
      <c r="S72" s="5"/>
      <c r="T72" s="16" t="str">
        <f>IF(F72="",E72,F72)</f>
        <v>SE467B</v>
      </c>
      <c r="U72" s="16" t="str">
        <f>H72&amp;I72</f>
        <v>蒙玺分形10号私募证券投资基金B类</v>
      </c>
      <c r="V72" s="17">
        <f>IF(O72="",N72,O72)</f>
        <v>45723</v>
      </c>
    </row>
    <row r="73" spans="1:22" ht="15" customHeight="1" x14ac:dyDescent="0.15">
      <c r="A73" s="13" t="s">
        <v>277</v>
      </c>
      <c r="B73" s="13" t="s">
        <v>278</v>
      </c>
      <c r="C73" s="13" t="s">
        <v>9</v>
      </c>
      <c r="D73" s="13" t="s">
        <v>10</v>
      </c>
      <c r="E73" s="13" t="s">
        <v>1187</v>
      </c>
      <c r="F73" s="13"/>
      <c r="G73" s="13"/>
      <c r="H73" s="13" t="s">
        <v>1186</v>
      </c>
      <c r="I73" s="13"/>
      <c r="J73" s="13" t="s">
        <v>213</v>
      </c>
      <c r="K73" s="13" t="s">
        <v>214</v>
      </c>
      <c r="L73" s="13"/>
      <c r="M73" s="13" t="s">
        <v>42</v>
      </c>
      <c r="N73" s="14">
        <v>43683</v>
      </c>
      <c r="O73" s="14"/>
      <c r="P73" s="15" t="e">
        <v>#N/A</v>
      </c>
      <c r="Q73" s="13" t="s">
        <v>1139</v>
      </c>
      <c r="R73" s="13" t="s">
        <v>1238</v>
      </c>
      <c r="S73" s="13"/>
      <c r="T73" s="16" t="str">
        <f>IF(F73="",E73,F73)</f>
        <v>SGY248</v>
      </c>
      <c r="U73" s="16" t="str">
        <f>H73&amp;I73</f>
        <v>上海宽德华富3号私募证券投资基金</v>
      </c>
      <c r="V73" s="17">
        <f>IF(O73="",N73,O73)</f>
        <v>43683</v>
      </c>
    </row>
    <row r="74" spans="1:22" ht="15" customHeight="1" x14ac:dyDescent="0.15">
      <c r="A74" s="5" t="s">
        <v>277</v>
      </c>
      <c r="B74" s="5" t="s">
        <v>278</v>
      </c>
      <c r="C74" s="5" t="s">
        <v>17</v>
      </c>
      <c r="D74" s="5" t="s">
        <v>10</v>
      </c>
      <c r="E74" s="5" t="s">
        <v>544</v>
      </c>
      <c r="F74" s="5"/>
      <c r="G74" s="5"/>
      <c r="H74" s="5" t="s">
        <v>792</v>
      </c>
      <c r="I74" s="5"/>
      <c r="J74" s="5" t="s">
        <v>950</v>
      </c>
      <c r="K74" s="5" t="s">
        <v>951</v>
      </c>
      <c r="L74" s="5" t="s">
        <v>406</v>
      </c>
      <c r="M74" s="5" t="s">
        <v>400</v>
      </c>
      <c r="N74" s="9">
        <v>43711</v>
      </c>
      <c r="O74" s="9" t="s">
        <v>399</v>
      </c>
      <c r="P74" s="10" t="e">
        <v>#N/A</v>
      </c>
      <c r="Q74" s="5" t="s">
        <v>1139</v>
      </c>
      <c r="R74" s="5" t="s">
        <v>399</v>
      </c>
      <c r="S74" s="5"/>
      <c r="T74" s="16" t="str">
        <f>IF(F74="",E74,F74)</f>
        <v>SJA839</v>
      </c>
      <c r="U74" s="16" t="str">
        <f>H74&amp;I74</f>
        <v>平方和智增1号私募证券投资基金</v>
      </c>
      <c r="V74" s="17">
        <f>IF(O74="",N74,O74)</f>
        <v>43711</v>
      </c>
    </row>
    <row r="75" spans="1:22" ht="15" customHeight="1" x14ac:dyDescent="0.15">
      <c r="A75" s="5" t="s">
        <v>277</v>
      </c>
      <c r="B75" s="5" t="s">
        <v>278</v>
      </c>
      <c r="C75" s="5" t="s">
        <v>17</v>
      </c>
      <c r="D75" s="5" t="s">
        <v>10</v>
      </c>
      <c r="E75" s="5" t="s">
        <v>545</v>
      </c>
      <c r="F75" s="5"/>
      <c r="G75" s="5"/>
      <c r="H75" s="5" t="s">
        <v>794</v>
      </c>
      <c r="I75" s="5"/>
      <c r="J75" s="5" t="s">
        <v>969</v>
      </c>
      <c r="K75" s="5" t="s">
        <v>970</v>
      </c>
      <c r="L75" s="5" t="s">
        <v>971</v>
      </c>
      <c r="M75" s="5" t="s">
        <v>106</v>
      </c>
      <c r="N75" s="9">
        <v>44376</v>
      </c>
      <c r="O75" s="9">
        <v>44743</v>
      </c>
      <c r="P75" s="10" t="e">
        <v>#N/A</v>
      </c>
      <c r="Q75" s="5" t="s">
        <v>1139</v>
      </c>
      <c r="R75" s="5" t="s">
        <v>1198</v>
      </c>
      <c r="S75" s="5"/>
      <c r="T75" s="16" t="str">
        <f>IF(F75="",E75,F75)</f>
        <v>SQX593</v>
      </c>
      <c r="U75" s="16" t="str">
        <f>H75&amp;I75</f>
        <v>玄信市场中性2号私募证券投资基金</v>
      </c>
      <c r="V75" s="17">
        <f>IF(O75="",N75,O75)</f>
        <v>44743</v>
      </c>
    </row>
    <row r="76" spans="1:22" ht="15" customHeight="1" x14ac:dyDescent="0.15">
      <c r="A76" s="5" t="s">
        <v>277</v>
      </c>
      <c r="B76" s="5" t="s">
        <v>278</v>
      </c>
      <c r="C76" s="5" t="s">
        <v>27</v>
      </c>
      <c r="D76" s="5" t="s">
        <v>506</v>
      </c>
      <c r="E76" s="5" t="s">
        <v>540</v>
      </c>
      <c r="F76" s="5"/>
      <c r="G76" s="5"/>
      <c r="H76" s="5" t="s">
        <v>789</v>
      </c>
      <c r="I76" s="5"/>
      <c r="J76" s="5" t="s">
        <v>964</v>
      </c>
      <c r="K76" s="5" t="s">
        <v>965</v>
      </c>
      <c r="L76" s="5" t="s">
        <v>966</v>
      </c>
      <c r="M76" s="5" t="s">
        <v>78</v>
      </c>
      <c r="N76" s="9">
        <v>44889</v>
      </c>
      <c r="O76" s="9">
        <v>45625</v>
      </c>
      <c r="P76" s="10"/>
      <c r="Q76" s="5" t="s">
        <v>1139</v>
      </c>
      <c r="R76" s="5" t="s">
        <v>1213</v>
      </c>
      <c r="S76" s="5"/>
      <c r="T76" s="16" t="str">
        <f>IF(F76="",E76,F76)</f>
        <v>SXU054</v>
      </c>
      <c r="U76" s="16" t="str">
        <f>H76&amp;I76</f>
        <v>蝶威平衡对冲1号私募证券投资基金</v>
      </c>
      <c r="V76" s="17">
        <f>IF(O76="",N76,O76)</f>
        <v>45625</v>
      </c>
    </row>
    <row r="77" spans="1:22" ht="15" customHeight="1" x14ac:dyDescent="0.15">
      <c r="A77" s="5" t="s">
        <v>277</v>
      </c>
      <c r="B77" s="5" t="s">
        <v>278</v>
      </c>
      <c r="C77" s="5" t="s">
        <v>27</v>
      </c>
      <c r="D77" s="5" t="s">
        <v>506</v>
      </c>
      <c r="E77" s="5" t="s">
        <v>294</v>
      </c>
      <c r="F77" s="5" t="s">
        <v>295</v>
      </c>
      <c r="G77" s="5" t="s">
        <v>296</v>
      </c>
      <c r="H77" s="5" t="s">
        <v>297</v>
      </c>
      <c r="I77" s="5" t="s">
        <v>82</v>
      </c>
      <c r="J77" s="5" t="s">
        <v>298</v>
      </c>
      <c r="K77" s="5" t="s">
        <v>299</v>
      </c>
      <c r="L77" s="5"/>
      <c r="M77" s="5" t="s">
        <v>23</v>
      </c>
      <c r="N77" s="9">
        <v>44603</v>
      </c>
      <c r="O77" s="9">
        <v>44624</v>
      </c>
      <c r="P77" s="10" t="e">
        <v>#N/A</v>
      </c>
      <c r="Q77" s="5" t="s">
        <v>1139</v>
      </c>
      <c r="R77" s="5" t="s">
        <v>1220</v>
      </c>
      <c r="S77" s="5"/>
      <c r="T77" s="16" t="str">
        <f>IF(F77="",E77,F77)</f>
        <v>VA177B</v>
      </c>
      <c r="U77" s="16" t="str">
        <f>H77&amp;I77</f>
        <v>知行通达金选量化对冲稳达2号私募证券投资基金B类</v>
      </c>
      <c r="V77" s="17">
        <f>IF(O77="",N77,O77)</f>
        <v>44624</v>
      </c>
    </row>
    <row r="78" spans="1:22" ht="15" customHeight="1" x14ac:dyDescent="0.15">
      <c r="A78" s="5" t="s">
        <v>277</v>
      </c>
      <c r="B78" s="5" t="s">
        <v>278</v>
      </c>
      <c r="C78" s="5" t="s">
        <v>27</v>
      </c>
      <c r="D78" s="5" t="s">
        <v>506</v>
      </c>
      <c r="E78" s="5" t="s">
        <v>539</v>
      </c>
      <c r="F78" s="5" t="s">
        <v>676</v>
      </c>
      <c r="G78" s="5"/>
      <c r="H78" s="5" t="s">
        <v>788</v>
      </c>
      <c r="I78" s="5" t="s">
        <v>82</v>
      </c>
      <c r="J78" s="5" t="s">
        <v>961</v>
      </c>
      <c r="K78" s="5" t="s">
        <v>962</v>
      </c>
      <c r="L78" s="5" t="s">
        <v>963</v>
      </c>
      <c r="M78" s="5" t="s">
        <v>400</v>
      </c>
      <c r="N78" s="9">
        <v>45023</v>
      </c>
      <c r="O78" s="9">
        <v>45562</v>
      </c>
      <c r="P78" s="10"/>
      <c r="Q78" s="5" t="s">
        <v>1139</v>
      </c>
      <c r="R78" s="5" t="s">
        <v>412</v>
      </c>
      <c r="S78" s="5"/>
      <c r="T78" s="16" t="str">
        <f>IF(F78="",E78,F78)</f>
        <v>ZT461B</v>
      </c>
      <c r="U78" s="16" t="str">
        <f>H78&amp;I78</f>
        <v>半鞅量化对冲6号私募证券投资基金B类</v>
      </c>
      <c r="V78" s="17">
        <f>IF(O78="",N78,O78)</f>
        <v>45562</v>
      </c>
    </row>
    <row r="79" spans="1:22" ht="15" customHeight="1" x14ac:dyDescent="0.15">
      <c r="A79" s="5" t="s">
        <v>268</v>
      </c>
      <c r="B79" s="5" t="s">
        <v>465</v>
      </c>
      <c r="C79" s="5" t="s">
        <v>17</v>
      </c>
      <c r="D79" s="5" t="s">
        <v>10</v>
      </c>
      <c r="E79" s="5" t="s">
        <v>269</v>
      </c>
      <c r="F79" s="5" t="s">
        <v>679</v>
      </c>
      <c r="G79" s="5" t="e">
        <v>#N/A</v>
      </c>
      <c r="H79" s="5" t="s">
        <v>797</v>
      </c>
      <c r="I79" s="5" t="s">
        <v>47</v>
      </c>
      <c r="J79" s="5" t="s">
        <v>270</v>
      </c>
      <c r="K79" s="5" t="s">
        <v>271</v>
      </c>
      <c r="L79" s="5" t="s">
        <v>272</v>
      </c>
      <c r="M79" s="5" t="s">
        <v>42</v>
      </c>
      <c r="N79" s="9">
        <v>43937</v>
      </c>
      <c r="O79" s="9"/>
      <c r="P79" s="10" t="s">
        <v>24</v>
      </c>
      <c r="Q79" s="5" t="s">
        <v>1139</v>
      </c>
      <c r="R79" s="5"/>
      <c r="S79" s="5"/>
      <c r="T79" s="16" t="str">
        <f>IF(F79="",E79,F79)</f>
        <v>JX860A</v>
      </c>
      <c r="U79" s="16" t="str">
        <f>H79&amp;I79</f>
        <v>交睿宏观配置1号私募证券投资基金A类</v>
      </c>
      <c r="V79" s="17">
        <f>IF(O79="",N79,O79)</f>
        <v>43937</v>
      </c>
    </row>
    <row r="80" spans="1:22" ht="15" customHeight="1" x14ac:dyDescent="0.15">
      <c r="A80" s="5" t="s">
        <v>268</v>
      </c>
      <c r="B80" s="5"/>
      <c r="C80" s="5" t="s">
        <v>17</v>
      </c>
      <c r="D80" s="5" t="s">
        <v>10</v>
      </c>
      <c r="E80" s="5" t="s">
        <v>546</v>
      </c>
      <c r="F80" s="5"/>
      <c r="G80" s="5"/>
      <c r="H80" s="5" t="s">
        <v>796</v>
      </c>
      <c r="I80" s="5"/>
      <c r="J80" s="5" t="s">
        <v>972</v>
      </c>
      <c r="K80" s="5" t="s">
        <v>973</v>
      </c>
      <c r="L80" s="5"/>
      <c r="M80" s="5" t="s">
        <v>87</v>
      </c>
      <c r="N80" s="9">
        <v>45257</v>
      </c>
      <c r="O80" s="9"/>
      <c r="P80" s="10" t="s">
        <v>24</v>
      </c>
      <c r="Q80" s="5" t="s">
        <v>1135</v>
      </c>
      <c r="R80" s="5"/>
      <c r="S80" s="5"/>
      <c r="T80" s="16" t="str">
        <f>IF(F80="",E80,F80)</f>
        <v>SADW09</v>
      </c>
      <c r="U80" s="16" t="str">
        <f>H80&amp;I80</f>
        <v>富善投资新利1号私募证券投资基金</v>
      </c>
      <c r="V80" s="17">
        <f>IF(O80="",N80,O80)</f>
        <v>45257</v>
      </c>
    </row>
    <row r="81" spans="1:22" ht="15" customHeight="1" x14ac:dyDescent="0.15">
      <c r="A81" s="5" t="s">
        <v>268</v>
      </c>
      <c r="B81" s="5"/>
      <c r="C81" s="5" t="s">
        <v>27</v>
      </c>
      <c r="D81" s="5" t="s">
        <v>10</v>
      </c>
      <c r="E81" s="5" t="s">
        <v>273</v>
      </c>
      <c r="F81" s="5"/>
      <c r="G81" s="5" t="e">
        <v>#N/A</v>
      </c>
      <c r="H81" s="5" t="s">
        <v>274</v>
      </c>
      <c r="I81" s="5"/>
      <c r="J81" s="5" t="s">
        <v>275</v>
      </c>
      <c r="K81" s="5" t="s">
        <v>276</v>
      </c>
      <c r="L81" s="5" t="s">
        <v>974</v>
      </c>
      <c r="M81" s="5" t="s">
        <v>87</v>
      </c>
      <c r="N81" s="9">
        <v>44137</v>
      </c>
      <c r="O81" s="9">
        <v>45268</v>
      </c>
      <c r="P81" s="10" t="s">
        <v>24</v>
      </c>
      <c r="Q81" s="5" t="s">
        <v>1135</v>
      </c>
      <c r="R81" s="5" t="s">
        <v>1192</v>
      </c>
      <c r="S81" s="5"/>
      <c r="T81" s="16" t="str">
        <f>IF(F81="",E81,F81)</f>
        <v>SND961</v>
      </c>
      <c r="U81" s="16" t="str">
        <f>H81&amp;I81</f>
        <v>量客泷韬系统化量化宏观alpha私募证券投资基金</v>
      </c>
      <c r="V81" s="17">
        <f>IF(O81="",N81,O81)</f>
        <v>45268</v>
      </c>
    </row>
    <row r="82" spans="1:22" ht="15" customHeight="1" x14ac:dyDescent="0.15">
      <c r="A82" s="5" t="s">
        <v>247</v>
      </c>
      <c r="B82" s="5" t="s">
        <v>248</v>
      </c>
      <c r="C82" s="5" t="s">
        <v>17</v>
      </c>
      <c r="D82" s="5" t="s">
        <v>10</v>
      </c>
      <c r="E82" s="5" t="s">
        <v>249</v>
      </c>
      <c r="F82" s="5"/>
      <c r="G82" s="5" t="e">
        <v>#N/A</v>
      </c>
      <c r="H82" s="5" t="s">
        <v>250</v>
      </c>
      <c r="I82" s="5"/>
      <c r="J82" s="5" t="s">
        <v>251</v>
      </c>
      <c r="K82" s="5" t="s">
        <v>252</v>
      </c>
      <c r="L82" s="5" t="s">
        <v>975</v>
      </c>
      <c r="M82" s="5" t="s">
        <v>64</v>
      </c>
      <c r="N82" s="9">
        <v>44641</v>
      </c>
      <c r="O82" s="9"/>
      <c r="P82" s="10" t="s">
        <v>253</v>
      </c>
      <c r="Q82" s="5" t="s">
        <v>1139</v>
      </c>
      <c r="R82" s="5"/>
      <c r="S82" s="5" t="s">
        <v>493</v>
      </c>
      <c r="T82" s="16" t="str">
        <f>IF(F82="",E82,F82)</f>
        <v>SVH952</v>
      </c>
      <c r="U82" s="16" t="str">
        <f>H82&amp;I82</f>
        <v>汉盛晓希1号私募证券投资基金</v>
      </c>
      <c r="V82" s="17">
        <f>IF(O82="",N82,O82)</f>
        <v>44641</v>
      </c>
    </row>
    <row r="83" spans="1:22" ht="15" customHeight="1" x14ac:dyDescent="0.15">
      <c r="A83" s="5" t="s">
        <v>247</v>
      </c>
      <c r="B83" s="5" t="s">
        <v>248</v>
      </c>
      <c r="C83" s="5" t="s">
        <v>17</v>
      </c>
      <c r="D83" s="5" t="s">
        <v>10</v>
      </c>
      <c r="E83" s="5" t="s">
        <v>254</v>
      </c>
      <c r="F83" s="5" t="s">
        <v>255</v>
      </c>
      <c r="G83" s="5" t="s">
        <v>255</v>
      </c>
      <c r="H83" s="5" t="s">
        <v>256</v>
      </c>
      <c r="I83" s="5" t="s">
        <v>82</v>
      </c>
      <c r="J83" s="5" t="s">
        <v>206</v>
      </c>
      <c r="K83" s="5" t="s">
        <v>207</v>
      </c>
      <c r="L83" s="5" t="s">
        <v>257</v>
      </c>
      <c r="M83" s="5" t="s">
        <v>87</v>
      </c>
      <c r="N83" s="9">
        <v>45313</v>
      </c>
      <c r="O83" s="9">
        <v>45359</v>
      </c>
      <c r="P83" s="10" t="s">
        <v>253</v>
      </c>
      <c r="Q83" s="5" t="s">
        <v>25</v>
      </c>
      <c r="R83" s="5" t="s">
        <v>1150</v>
      </c>
      <c r="S83" s="5" t="s">
        <v>492</v>
      </c>
      <c r="T83" s="16" t="str">
        <f>IF(F83="",E83,F83)</f>
        <v>AFD89B</v>
      </c>
      <c r="U83" s="16" t="str">
        <f>H83&amp;I83</f>
        <v>敦钰乐水稳健1号私募证券投资基金B类</v>
      </c>
      <c r="V83" s="17">
        <f>IF(O83="",N83,O83)</f>
        <v>45359</v>
      </c>
    </row>
    <row r="84" spans="1:22" ht="15" customHeight="1" x14ac:dyDescent="0.15">
      <c r="A84" s="5" t="s">
        <v>247</v>
      </c>
      <c r="B84" s="5" t="s">
        <v>258</v>
      </c>
      <c r="C84" s="5" t="s">
        <v>9</v>
      </c>
      <c r="D84" s="5" t="s">
        <v>506</v>
      </c>
      <c r="E84" s="5" t="s">
        <v>259</v>
      </c>
      <c r="F84" s="5" t="s">
        <v>681</v>
      </c>
      <c r="G84" s="5"/>
      <c r="H84" s="5" t="s">
        <v>800</v>
      </c>
      <c r="I84" s="5" t="s">
        <v>47</v>
      </c>
      <c r="J84" s="5" t="s">
        <v>260</v>
      </c>
      <c r="K84" s="5" t="s">
        <v>261</v>
      </c>
      <c r="L84" s="5" t="s">
        <v>979</v>
      </c>
      <c r="M84" s="5" t="s">
        <v>87</v>
      </c>
      <c r="N84" s="9">
        <v>45461</v>
      </c>
      <c r="O84" s="9">
        <v>45625</v>
      </c>
      <c r="P84" s="10"/>
      <c r="Q84" s="5" t="s">
        <v>1135</v>
      </c>
      <c r="R84" s="5" t="s">
        <v>413</v>
      </c>
      <c r="S84" s="5" t="s">
        <v>493</v>
      </c>
      <c r="T84" s="16" t="str">
        <f>IF(F84="",E84,F84)</f>
        <v>ALT65A</v>
      </c>
      <c r="U84" s="16" t="str">
        <f>H84&amp;I84</f>
        <v>奇盾安富尊荣2号私募证券投资基金A类</v>
      </c>
      <c r="V84" s="17">
        <f>IF(O84="",N84,O84)</f>
        <v>45625</v>
      </c>
    </row>
    <row r="85" spans="1:22" ht="15" customHeight="1" x14ac:dyDescent="0.15">
      <c r="A85" s="5" t="s">
        <v>247</v>
      </c>
      <c r="B85" s="5" t="s">
        <v>258</v>
      </c>
      <c r="C85" s="5" t="s">
        <v>9</v>
      </c>
      <c r="D85" s="5" t="s">
        <v>10</v>
      </c>
      <c r="E85" s="5" t="s">
        <v>259</v>
      </c>
      <c r="F85" s="5"/>
      <c r="G85" s="5" t="s">
        <v>259</v>
      </c>
      <c r="H85" s="5" t="s">
        <v>800</v>
      </c>
      <c r="I85" s="5"/>
      <c r="J85" s="5" t="s">
        <v>260</v>
      </c>
      <c r="K85" s="5" t="s">
        <v>261</v>
      </c>
      <c r="L85" s="5" t="s">
        <v>979</v>
      </c>
      <c r="M85" s="5" t="s">
        <v>87</v>
      </c>
      <c r="N85" s="9">
        <v>45461</v>
      </c>
      <c r="O85" s="9"/>
      <c r="P85" s="10" t="s">
        <v>253</v>
      </c>
      <c r="Q85" s="5" t="s">
        <v>25</v>
      </c>
      <c r="R85" s="5" t="s">
        <v>1179</v>
      </c>
      <c r="S85" s="5" t="s">
        <v>493</v>
      </c>
      <c r="T85" s="16" t="str">
        <f>IF(F85="",E85,F85)</f>
        <v>SALT65</v>
      </c>
      <c r="U85" s="16" t="str">
        <f>H85&amp;I85</f>
        <v>奇盾安富尊荣2号私募证券投资基金</v>
      </c>
      <c r="V85" s="17">
        <f>IF(O85="",N85,O85)</f>
        <v>45461</v>
      </c>
    </row>
    <row r="86" spans="1:22" ht="15" customHeight="1" x14ac:dyDescent="0.15">
      <c r="A86" s="5" t="s">
        <v>247</v>
      </c>
      <c r="B86" s="5" t="s">
        <v>258</v>
      </c>
      <c r="C86" s="5" t="s">
        <v>27</v>
      </c>
      <c r="D86" s="5" t="s">
        <v>506</v>
      </c>
      <c r="E86" s="5" t="s">
        <v>547</v>
      </c>
      <c r="F86" s="5" t="s">
        <v>680</v>
      </c>
      <c r="G86" s="5"/>
      <c r="H86" s="5" t="s">
        <v>798</v>
      </c>
      <c r="I86" s="5" t="s">
        <v>47</v>
      </c>
      <c r="J86" s="5" t="s">
        <v>184</v>
      </c>
      <c r="K86" s="5" t="s">
        <v>185</v>
      </c>
      <c r="L86" s="5" t="s">
        <v>186</v>
      </c>
      <c r="M86" s="5" t="s">
        <v>42</v>
      </c>
      <c r="N86" s="9">
        <v>45723</v>
      </c>
      <c r="O86" s="9" t="s">
        <v>399</v>
      </c>
      <c r="P86" s="10"/>
      <c r="Q86" s="5" t="s">
        <v>1135</v>
      </c>
      <c r="R86" s="5"/>
      <c r="S86" s="5"/>
      <c r="T86" s="16" t="str">
        <f>IF(F86="",E86,F86)</f>
        <v>AUS71A</v>
      </c>
      <c r="U86" s="16" t="str">
        <f>H86&amp;I86</f>
        <v>泓原东湖1号私募证券投资基金A类</v>
      </c>
      <c r="V86" s="17">
        <f>IF(O86="",N86,O86)</f>
        <v>45723</v>
      </c>
    </row>
    <row r="87" spans="1:22" ht="15" customHeight="1" x14ac:dyDescent="0.15">
      <c r="A87" s="5" t="s">
        <v>247</v>
      </c>
      <c r="B87" s="5" t="s">
        <v>258</v>
      </c>
      <c r="C87" s="5" t="s">
        <v>17</v>
      </c>
      <c r="D87" s="5" t="s">
        <v>506</v>
      </c>
      <c r="E87" s="5" t="s">
        <v>548</v>
      </c>
      <c r="F87" s="5"/>
      <c r="G87" s="5"/>
      <c r="H87" s="5" t="s">
        <v>799</v>
      </c>
      <c r="I87" s="5"/>
      <c r="J87" s="5" t="s">
        <v>976</v>
      </c>
      <c r="K87" s="5" t="s">
        <v>977</v>
      </c>
      <c r="L87" s="5" t="s">
        <v>978</v>
      </c>
      <c r="M87" s="5" t="s">
        <v>400</v>
      </c>
      <c r="N87" s="9">
        <v>45118</v>
      </c>
      <c r="O87" s="9" t="s">
        <v>399</v>
      </c>
      <c r="P87" s="10"/>
      <c r="Q87" s="5" t="s">
        <v>1139</v>
      </c>
      <c r="R87" s="5" t="s">
        <v>399</v>
      </c>
      <c r="S87" s="5"/>
      <c r="T87" s="16" t="str">
        <f>IF(F87="",E87,F87)</f>
        <v>SB5590</v>
      </c>
      <c r="U87" s="16" t="str">
        <f>H87&amp;I87</f>
        <v>宽辅专享1号私募证券投资基金</v>
      </c>
      <c r="V87" s="17">
        <f>IF(O87="",N87,O87)</f>
        <v>45118</v>
      </c>
    </row>
    <row r="88" spans="1:22" ht="15" customHeight="1" x14ac:dyDescent="0.15">
      <c r="A88" s="5" t="s">
        <v>247</v>
      </c>
      <c r="B88" s="5" t="s">
        <v>262</v>
      </c>
      <c r="C88" s="5" t="s">
        <v>17</v>
      </c>
      <c r="D88" s="5" t="s">
        <v>10</v>
      </c>
      <c r="E88" s="5" t="s">
        <v>263</v>
      </c>
      <c r="F88" s="5" t="s">
        <v>264</v>
      </c>
      <c r="G88" s="5" t="s">
        <v>264</v>
      </c>
      <c r="H88" s="5" t="s">
        <v>265</v>
      </c>
      <c r="I88" s="5" t="s">
        <v>47</v>
      </c>
      <c r="J88" s="5" t="s">
        <v>266</v>
      </c>
      <c r="K88" s="5" t="s">
        <v>267</v>
      </c>
      <c r="L88" s="5"/>
      <c r="M88" s="5" t="s">
        <v>87</v>
      </c>
      <c r="N88" s="9">
        <v>45539</v>
      </c>
      <c r="O88" s="9"/>
      <c r="P88" s="10" t="s">
        <v>253</v>
      </c>
      <c r="Q88" s="5" t="s">
        <v>43</v>
      </c>
      <c r="R88" s="5"/>
      <c r="S88" s="5"/>
      <c r="T88" s="16" t="str">
        <f>IF(F88="",E88,F88)</f>
        <v>ANZ78A</v>
      </c>
      <c r="U88" s="16" t="str">
        <f>H88&amp;I88</f>
        <v>盈怀问荆1号私募证券投资基金A类</v>
      </c>
      <c r="V88" s="17">
        <f>IF(O88="",N88,O88)</f>
        <v>45539</v>
      </c>
    </row>
    <row r="89" spans="1:22" ht="15" customHeight="1" x14ac:dyDescent="0.15">
      <c r="A89" s="5" t="s">
        <v>165</v>
      </c>
      <c r="B89" s="5" t="s">
        <v>174</v>
      </c>
      <c r="C89" s="5" t="s">
        <v>27</v>
      </c>
      <c r="D89" s="5" t="s">
        <v>10</v>
      </c>
      <c r="E89" s="5" t="s">
        <v>1215</v>
      </c>
      <c r="F89" s="5"/>
      <c r="G89" s="5"/>
      <c r="H89" s="5" t="s">
        <v>1214</v>
      </c>
      <c r="I89" s="5"/>
      <c r="J89" s="5" t="s">
        <v>187</v>
      </c>
      <c r="K89" s="5" t="s">
        <v>188</v>
      </c>
      <c r="L89" s="5" t="s">
        <v>189</v>
      </c>
      <c r="M89" s="5" t="s">
        <v>78</v>
      </c>
      <c r="N89" s="9">
        <v>44995</v>
      </c>
      <c r="O89" s="9"/>
      <c r="P89" s="10" t="s">
        <v>173</v>
      </c>
      <c r="Q89" s="5" t="s">
        <v>1139</v>
      </c>
      <c r="R89" s="5"/>
      <c r="S89" s="5" t="s">
        <v>492</v>
      </c>
      <c r="T89" s="16" t="str">
        <f>IF(F89="",E89,F89)</f>
        <v>SZN706</v>
      </c>
      <c r="U89" s="16" t="str">
        <f>H89&amp;I89</f>
        <v>顺义成启航1号私募证券投资基金</v>
      </c>
      <c r="V89" s="17">
        <f>IF(O89="",N89,O89)</f>
        <v>44995</v>
      </c>
    </row>
    <row r="90" spans="1:22" ht="15" customHeight="1" x14ac:dyDescent="0.15">
      <c r="A90" s="5" t="s">
        <v>165</v>
      </c>
      <c r="B90" s="5" t="s">
        <v>174</v>
      </c>
      <c r="C90" s="5" t="s">
        <v>17</v>
      </c>
      <c r="D90" s="5" t="s">
        <v>10</v>
      </c>
      <c r="E90" s="5" t="s">
        <v>556</v>
      </c>
      <c r="F90" s="5" t="s">
        <v>692</v>
      </c>
      <c r="G90" s="5"/>
      <c r="H90" s="5" t="s">
        <v>811</v>
      </c>
      <c r="I90" s="5" t="s">
        <v>82</v>
      </c>
      <c r="J90" s="5" t="s">
        <v>992</v>
      </c>
      <c r="K90" s="5" t="s">
        <v>993</v>
      </c>
      <c r="L90" s="5" t="s">
        <v>994</v>
      </c>
      <c r="M90" s="5" t="s">
        <v>398</v>
      </c>
      <c r="N90" s="9">
        <v>45565</v>
      </c>
      <c r="O90" s="9"/>
      <c r="P90" s="10" t="s">
        <v>173</v>
      </c>
      <c r="Q90" s="5" t="s">
        <v>1135</v>
      </c>
      <c r="R90" s="5"/>
      <c r="S90" s="5"/>
      <c r="T90" s="16" t="str">
        <f>IF(F90="",E90,F90)</f>
        <v>ADH56B</v>
      </c>
      <c r="U90" s="16" t="str">
        <f>H90&amp;I90</f>
        <v>无涯中证1000指数增强1号私募证券投资基金B类</v>
      </c>
      <c r="V90" s="17">
        <f>IF(O90="",N90,O90)</f>
        <v>45565</v>
      </c>
    </row>
    <row r="91" spans="1:22" ht="15" customHeight="1" x14ac:dyDescent="0.15">
      <c r="A91" s="5" t="s">
        <v>165</v>
      </c>
      <c r="B91" s="5" t="s">
        <v>174</v>
      </c>
      <c r="C91" s="5" t="s">
        <v>505</v>
      </c>
      <c r="D91" s="5" t="s">
        <v>10</v>
      </c>
      <c r="E91" s="5" t="s">
        <v>549</v>
      </c>
      <c r="F91" s="5" t="s">
        <v>684</v>
      </c>
      <c r="G91" s="5"/>
      <c r="H91" s="5" t="s">
        <v>803</v>
      </c>
      <c r="I91" s="5" t="s">
        <v>47</v>
      </c>
      <c r="J91" s="5" t="s">
        <v>981</v>
      </c>
      <c r="K91" s="5" t="s">
        <v>982</v>
      </c>
      <c r="L91" s="5" t="s">
        <v>983</v>
      </c>
      <c r="M91" s="5" t="s">
        <v>23</v>
      </c>
      <c r="N91" s="9">
        <v>45246</v>
      </c>
      <c r="O91" s="9" t="s">
        <v>399</v>
      </c>
      <c r="P91" s="10"/>
      <c r="Q91" s="5" t="s">
        <v>1139</v>
      </c>
      <c r="R91" s="5"/>
      <c r="S91" s="5"/>
      <c r="T91" s="16" t="str">
        <f>IF(F91="",E91,F91)</f>
        <v>ADR35A</v>
      </c>
      <c r="U91" s="16" t="str">
        <f>H91&amp;I91</f>
        <v>锦徽中证1000指数增强1号私募证券投资基金A类</v>
      </c>
      <c r="V91" s="17">
        <f>IF(O91="",N91,O91)</f>
        <v>45246</v>
      </c>
    </row>
    <row r="92" spans="1:22" ht="15" customHeight="1" x14ac:dyDescent="0.15">
      <c r="A92" s="5" t="s">
        <v>165</v>
      </c>
      <c r="B92" s="5" t="s">
        <v>174</v>
      </c>
      <c r="C92" s="5" t="s">
        <v>17</v>
      </c>
      <c r="D92" s="5" t="s">
        <v>506</v>
      </c>
      <c r="E92" s="5" t="s">
        <v>552</v>
      </c>
      <c r="F92" s="5" t="s">
        <v>687</v>
      </c>
      <c r="G92" s="5"/>
      <c r="H92" s="5" t="s">
        <v>805</v>
      </c>
      <c r="I92" s="5" t="s">
        <v>82</v>
      </c>
      <c r="J92" s="5" t="s">
        <v>986</v>
      </c>
      <c r="K92" s="5" t="s">
        <v>987</v>
      </c>
      <c r="L92" s="5" t="s">
        <v>988</v>
      </c>
      <c r="M92" s="5" t="s">
        <v>400</v>
      </c>
      <c r="N92" s="9">
        <v>45272</v>
      </c>
      <c r="O92" s="9">
        <v>45765</v>
      </c>
      <c r="P92" s="10"/>
      <c r="Q92" s="5" t="s">
        <v>1139</v>
      </c>
      <c r="R92" s="5" t="s">
        <v>426</v>
      </c>
      <c r="S92" s="5"/>
      <c r="T92" s="16" t="str">
        <f>IF(F92="",E92,F92)</f>
        <v>ADY68B</v>
      </c>
      <c r="U92" s="16" t="str">
        <f>H92&amp;I92</f>
        <v>茂源金选中证1000指数增强5号私募证券投资基金B类</v>
      </c>
      <c r="V92" s="17">
        <f>IF(O92="",N92,O92)</f>
        <v>45765</v>
      </c>
    </row>
    <row r="93" spans="1:22" ht="15" customHeight="1" x14ac:dyDescent="0.15">
      <c r="A93" s="5" t="s">
        <v>165</v>
      </c>
      <c r="B93" s="5" t="s">
        <v>174</v>
      </c>
      <c r="C93" s="5" t="s">
        <v>17</v>
      </c>
      <c r="D93" s="5" t="s">
        <v>506</v>
      </c>
      <c r="E93" s="5" t="s">
        <v>562</v>
      </c>
      <c r="F93" s="5" t="s">
        <v>696</v>
      </c>
      <c r="G93" s="5"/>
      <c r="H93" s="5" t="s">
        <v>818</v>
      </c>
      <c r="I93" s="5" t="s">
        <v>82</v>
      </c>
      <c r="J93" s="5" t="s">
        <v>177</v>
      </c>
      <c r="K93" s="5" t="s">
        <v>178</v>
      </c>
      <c r="L93" s="5" t="s">
        <v>1004</v>
      </c>
      <c r="M93" s="5" t="s">
        <v>400</v>
      </c>
      <c r="N93" s="9">
        <v>45469</v>
      </c>
      <c r="O93" s="9" t="s">
        <v>399</v>
      </c>
      <c r="P93" s="10"/>
      <c r="Q93" s="5" t="s">
        <v>1135</v>
      </c>
      <c r="R93" s="5"/>
      <c r="S93" s="5"/>
      <c r="T93" s="16" t="str">
        <f>IF(F93="",E93,F93)</f>
        <v>ALY68B</v>
      </c>
      <c r="U93" s="16" t="str">
        <f>H93&amp;I93</f>
        <v>正定中证1000指数增强2号私募证券投资基金B类</v>
      </c>
      <c r="V93" s="17">
        <f>IF(O93="",N93,O93)</f>
        <v>45469</v>
      </c>
    </row>
    <row r="94" spans="1:22" ht="15" customHeight="1" x14ac:dyDescent="0.15">
      <c r="A94" s="5" t="s">
        <v>165</v>
      </c>
      <c r="B94" s="5" t="s">
        <v>174</v>
      </c>
      <c r="C94" s="5" t="s">
        <v>27</v>
      </c>
      <c r="D94" s="5" t="s">
        <v>10</v>
      </c>
      <c r="E94" s="5" t="s">
        <v>180</v>
      </c>
      <c r="F94" s="5" t="s">
        <v>181</v>
      </c>
      <c r="G94" s="5" t="s">
        <v>182</v>
      </c>
      <c r="H94" s="5" t="s">
        <v>183</v>
      </c>
      <c r="I94" s="5" t="s">
        <v>47</v>
      </c>
      <c r="J94" s="5" t="s">
        <v>184</v>
      </c>
      <c r="K94" s="5" t="s">
        <v>185</v>
      </c>
      <c r="L94" s="5" t="s">
        <v>186</v>
      </c>
      <c r="M94" s="5" t="s">
        <v>87</v>
      </c>
      <c r="N94" s="9">
        <v>45513</v>
      </c>
      <c r="O94" s="9"/>
      <c r="P94" s="10" t="s">
        <v>173</v>
      </c>
      <c r="Q94" s="5" t="s">
        <v>1139</v>
      </c>
      <c r="R94" s="5"/>
      <c r="S94" s="5"/>
      <c r="T94" s="16" t="str">
        <f>IF(F94="",E94,F94)</f>
        <v>AML60A</v>
      </c>
      <c r="U94" s="16" t="str">
        <f>H94&amp;I94</f>
        <v>泓原香湾中证1000指数增强1号私募证券投资基金A类</v>
      </c>
      <c r="V94" s="17">
        <f>IF(O94="",N94,O94)</f>
        <v>45513</v>
      </c>
    </row>
    <row r="95" spans="1:22" ht="15" customHeight="1" x14ac:dyDescent="0.15">
      <c r="A95" s="5" t="s">
        <v>165</v>
      </c>
      <c r="B95" s="5" t="s">
        <v>174</v>
      </c>
      <c r="C95" s="5" t="s">
        <v>9</v>
      </c>
      <c r="D95" s="5" t="s">
        <v>10</v>
      </c>
      <c r="E95" s="5" t="s">
        <v>560</v>
      </c>
      <c r="F95" s="5" t="s">
        <v>694</v>
      </c>
      <c r="G95" s="5"/>
      <c r="H95" s="5" t="s">
        <v>815</v>
      </c>
      <c r="I95" s="5" t="s">
        <v>82</v>
      </c>
      <c r="J95" s="5" t="s">
        <v>1000</v>
      </c>
      <c r="K95" s="5" t="s">
        <v>1001</v>
      </c>
      <c r="L95" s="5" t="s">
        <v>1002</v>
      </c>
      <c r="M95" s="5" t="s">
        <v>23</v>
      </c>
      <c r="N95" s="9">
        <v>45736</v>
      </c>
      <c r="O95" s="9"/>
      <c r="P95" s="10" t="s">
        <v>173</v>
      </c>
      <c r="Q95" s="5" t="s">
        <v>1135</v>
      </c>
      <c r="R95" s="5"/>
      <c r="S95" s="5"/>
      <c r="T95" s="16" t="str">
        <f>IF(F95="",E95,F95)</f>
        <v>AVU56B</v>
      </c>
      <c r="U95" s="16" t="str">
        <f>H95&amp;I95</f>
        <v>亦赋尤里卡1号多策略私募证券投资基金B类</v>
      </c>
      <c r="V95" s="17">
        <f>IF(O95="",N95,O95)</f>
        <v>45736</v>
      </c>
    </row>
    <row r="96" spans="1:22" ht="15" customHeight="1" x14ac:dyDescent="0.15">
      <c r="A96" s="5" t="s">
        <v>165</v>
      </c>
      <c r="B96" s="5" t="s">
        <v>174</v>
      </c>
      <c r="C96" s="5" t="s">
        <v>27</v>
      </c>
      <c r="D96" s="5" t="s">
        <v>506</v>
      </c>
      <c r="E96" s="5" t="s">
        <v>554</v>
      </c>
      <c r="F96" s="5" t="s">
        <v>690</v>
      </c>
      <c r="G96" s="5"/>
      <c r="H96" s="5" t="s">
        <v>808</v>
      </c>
      <c r="I96" s="5" t="s">
        <v>82</v>
      </c>
      <c r="J96" s="5" t="s">
        <v>989</v>
      </c>
      <c r="K96" s="5" t="s">
        <v>990</v>
      </c>
      <c r="L96" s="5" t="s">
        <v>991</v>
      </c>
      <c r="M96" s="5" t="s">
        <v>398</v>
      </c>
      <c r="N96" s="9">
        <v>45861</v>
      </c>
      <c r="O96" s="9" t="s">
        <v>399</v>
      </c>
      <c r="P96" s="10"/>
      <c r="Q96" s="5" t="s">
        <v>1139</v>
      </c>
      <c r="R96" s="5" t="s">
        <v>399</v>
      </c>
      <c r="S96" s="5"/>
      <c r="T96" s="16" t="str">
        <f>IF(F96="",E96,F96)</f>
        <v>BBK73B</v>
      </c>
      <c r="U96" s="16" t="str">
        <f>H96&amp;I96</f>
        <v>柔微量化中证1000指数增强1号私募证券投资基金B类</v>
      </c>
      <c r="V96" s="17">
        <f>IF(O96="",N96,O96)</f>
        <v>45861</v>
      </c>
    </row>
    <row r="97" spans="1:22" ht="15" customHeight="1" x14ac:dyDescent="0.15">
      <c r="A97" s="5" t="s">
        <v>165</v>
      </c>
      <c r="B97" s="5" t="s">
        <v>174</v>
      </c>
      <c r="C97" s="5" t="s">
        <v>27</v>
      </c>
      <c r="D97" s="5" t="s">
        <v>10</v>
      </c>
      <c r="E97" s="5" t="s">
        <v>554</v>
      </c>
      <c r="F97" s="5" t="s">
        <v>691</v>
      </c>
      <c r="G97" s="5"/>
      <c r="H97" s="5" t="s">
        <v>808</v>
      </c>
      <c r="I97" s="5" t="s">
        <v>809</v>
      </c>
      <c r="J97" s="5" t="s">
        <v>989</v>
      </c>
      <c r="K97" s="5" t="s">
        <v>990</v>
      </c>
      <c r="L97" s="5" t="s">
        <v>991</v>
      </c>
      <c r="M97" s="5" t="s">
        <v>398</v>
      </c>
      <c r="N97" s="9">
        <v>45861</v>
      </c>
      <c r="O97" s="9" t="s">
        <v>399</v>
      </c>
      <c r="P97" s="10"/>
      <c r="Q97" s="5" t="s">
        <v>1139</v>
      </c>
      <c r="R97" s="5"/>
      <c r="S97" s="5"/>
      <c r="T97" s="16" t="str">
        <f>IF(F97="",E97,F97)</f>
        <v>BBK73C</v>
      </c>
      <c r="U97" s="16" t="str">
        <f>H97&amp;I97</f>
        <v>柔微量化中证1000指数增强1号私募证券投资基金C类</v>
      </c>
      <c r="V97" s="17">
        <f>IF(O97="",N97,O97)</f>
        <v>45861</v>
      </c>
    </row>
    <row r="98" spans="1:22" ht="15" customHeight="1" x14ac:dyDescent="0.15">
      <c r="A98" s="5" t="s">
        <v>165</v>
      </c>
      <c r="B98" s="5" t="s">
        <v>174</v>
      </c>
      <c r="C98" s="5" t="s">
        <v>17</v>
      </c>
      <c r="D98" s="5" t="s">
        <v>506</v>
      </c>
      <c r="E98" s="5" t="s">
        <v>557</v>
      </c>
      <c r="F98" s="5" t="s">
        <v>693</v>
      </c>
      <c r="G98" s="5"/>
      <c r="H98" s="5" t="s">
        <v>812</v>
      </c>
      <c r="I98" s="5" t="s">
        <v>47</v>
      </c>
      <c r="J98" s="5" t="s">
        <v>995</v>
      </c>
      <c r="K98" s="5" t="s">
        <v>996</v>
      </c>
      <c r="L98" s="5" t="s">
        <v>997</v>
      </c>
      <c r="M98" s="5" t="s">
        <v>398</v>
      </c>
      <c r="N98" s="9">
        <v>45967</v>
      </c>
      <c r="O98" s="9" t="s">
        <v>399</v>
      </c>
      <c r="P98" s="10"/>
      <c r="Q98" s="5" t="s">
        <v>1135</v>
      </c>
      <c r="R98" s="5"/>
      <c r="S98" s="5"/>
      <c r="T98" s="16" t="str">
        <f>IF(F98="",E98,F98)</f>
        <v>BHF79A</v>
      </c>
      <c r="U98" s="16" t="str">
        <f>H98&amp;I98</f>
        <v>香农吉祥1000指增五号私募证券投资基金A类</v>
      </c>
      <c r="V98" s="17">
        <f>IF(O98="",N98,O98)</f>
        <v>45967</v>
      </c>
    </row>
    <row r="99" spans="1:22" ht="15" customHeight="1" x14ac:dyDescent="0.15">
      <c r="A99" s="5" t="s">
        <v>165</v>
      </c>
      <c r="B99" s="5" t="s">
        <v>174</v>
      </c>
      <c r="C99" s="5" t="s">
        <v>17</v>
      </c>
      <c r="D99" s="5" t="s">
        <v>10</v>
      </c>
      <c r="E99" s="5" t="s">
        <v>430</v>
      </c>
      <c r="F99" s="5" t="s">
        <v>689</v>
      </c>
      <c r="G99" s="5"/>
      <c r="H99" s="5" t="s">
        <v>807</v>
      </c>
      <c r="I99" s="5" t="s">
        <v>47</v>
      </c>
      <c r="J99" s="5" t="s">
        <v>954</v>
      </c>
      <c r="K99" s="5" t="s">
        <v>955</v>
      </c>
      <c r="L99" s="5"/>
      <c r="M99" s="5" t="s">
        <v>23</v>
      </c>
      <c r="N99" s="9">
        <v>45972</v>
      </c>
      <c r="O99" s="9" t="s">
        <v>399</v>
      </c>
      <c r="P99" s="10" t="s">
        <v>173</v>
      </c>
      <c r="Q99" s="5" t="s">
        <v>1135</v>
      </c>
      <c r="R99" s="5"/>
      <c r="S99" s="5"/>
      <c r="T99" s="16" t="str">
        <f>IF(F99="",E99,F99)</f>
        <v>BJV97A</v>
      </c>
      <c r="U99" s="16" t="str">
        <f>H99&amp;I99</f>
        <v>千衍六和53号1000指增私募证券投资基金A类</v>
      </c>
      <c r="V99" s="17">
        <f>IF(O99="",N99,O99)</f>
        <v>45972</v>
      </c>
    </row>
    <row r="100" spans="1:22" ht="15" customHeight="1" x14ac:dyDescent="0.15">
      <c r="A100" s="5" t="s">
        <v>165</v>
      </c>
      <c r="B100" s="5" t="s">
        <v>174</v>
      </c>
      <c r="C100" s="5" t="s">
        <v>9</v>
      </c>
      <c r="D100" s="5" t="s">
        <v>506</v>
      </c>
      <c r="E100" s="5" t="s">
        <v>1318</v>
      </c>
      <c r="F100" s="5" t="s">
        <v>1319</v>
      </c>
      <c r="G100" s="5"/>
      <c r="H100" s="5" t="s">
        <v>1320</v>
      </c>
      <c r="I100" s="5" t="s">
        <v>82</v>
      </c>
      <c r="J100" s="5" t="s">
        <v>950</v>
      </c>
      <c r="K100" s="5" t="s">
        <v>951</v>
      </c>
      <c r="L100" s="5" t="s">
        <v>406</v>
      </c>
      <c r="M100" s="5" t="s">
        <v>398</v>
      </c>
      <c r="N100" s="9">
        <v>46048</v>
      </c>
      <c r="O100" s="9">
        <v>46052</v>
      </c>
      <c r="P100" s="10"/>
      <c r="Q100" s="5"/>
      <c r="R100" s="5" t="s">
        <v>1354</v>
      </c>
      <c r="S100" s="5"/>
      <c r="T100" s="16" t="str">
        <f>IF(F100="",E100,F100)</f>
        <v>BPX61B</v>
      </c>
      <c r="U100" s="16" t="str">
        <f>H100&amp;I100</f>
        <v>平方和鼎盛中证1000指数增强126号B类</v>
      </c>
      <c r="V100" s="17">
        <f>IF(O100="",N100,O100)</f>
        <v>46052</v>
      </c>
    </row>
    <row r="101" spans="1:22" ht="15" customHeight="1" x14ac:dyDescent="0.15">
      <c r="A101" s="5" t="s">
        <v>165</v>
      </c>
      <c r="B101" s="5" t="s">
        <v>174</v>
      </c>
      <c r="C101" s="5" t="s">
        <v>17</v>
      </c>
      <c r="D101" s="5" t="s">
        <v>10</v>
      </c>
      <c r="E101" s="5" t="s">
        <v>175</v>
      </c>
      <c r="F101" s="5"/>
      <c r="G101" s="5"/>
      <c r="H101" s="5" t="s">
        <v>176</v>
      </c>
      <c r="I101" s="5"/>
      <c r="J101" s="5" t="s">
        <v>177</v>
      </c>
      <c r="K101" s="5" t="s">
        <v>178</v>
      </c>
      <c r="L101" s="5" t="s">
        <v>179</v>
      </c>
      <c r="M101" s="5" t="s">
        <v>398</v>
      </c>
      <c r="N101" s="9">
        <v>45226</v>
      </c>
      <c r="O101" s="9"/>
      <c r="P101" s="10" t="s">
        <v>173</v>
      </c>
      <c r="Q101" s="5" t="s">
        <v>25</v>
      </c>
      <c r="R101" s="5"/>
      <c r="S101" s="5"/>
      <c r="T101" s="16" t="str">
        <f>IF(F101="",E101,F101)</f>
        <v>SAAT36</v>
      </c>
      <c r="U101" s="16" t="str">
        <f>H101&amp;I101</f>
        <v>正定中证1000指数增强1号私募证券投资基金</v>
      </c>
      <c r="V101" s="17">
        <f>IF(O101="",N101,O101)</f>
        <v>45226</v>
      </c>
    </row>
    <row r="102" spans="1:22" ht="15" customHeight="1" x14ac:dyDescent="0.15">
      <c r="A102" s="5" t="s">
        <v>165</v>
      </c>
      <c r="B102" s="5" t="s">
        <v>174</v>
      </c>
      <c r="C102" s="5" t="s">
        <v>27</v>
      </c>
      <c r="D102" s="5" t="s">
        <v>10</v>
      </c>
      <c r="E102" s="5" t="s">
        <v>559</v>
      </c>
      <c r="F102" s="5"/>
      <c r="G102" s="5"/>
      <c r="H102" s="5" t="s">
        <v>814</v>
      </c>
      <c r="I102" s="5"/>
      <c r="J102" s="5" t="s">
        <v>969</v>
      </c>
      <c r="K102" s="5" t="s">
        <v>970</v>
      </c>
      <c r="L102" s="5" t="s">
        <v>998</v>
      </c>
      <c r="M102" s="5" t="s">
        <v>400</v>
      </c>
      <c r="N102" s="9">
        <v>45489</v>
      </c>
      <c r="O102" s="9">
        <v>45821</v>
      </c>
      <c r="P102" s="10" t="s">
        <v>173</v>
      </c>
      <c r="Q102" s="5" t="s">
        <v>1139</v>
      </c>
      <c r="R102" s="5" t="s">
        <v>1159</v>
      </c>
      <c r="S102" s="5"/>
      <c r="T102" s="16" t="str">
        <f>IF(F102="",E102,F102)</f>
        <v>SAHV04</v>
      </c>
      <c r="U102" s="16" t="str">
        <f>H102&amp;I102</f>
        <v>玄信星选1000指数增强1号私募证券投资基金</v>
      </c>
      <c r="V102" s="17">
        <f>IF(O102="",N102,O102)</f>
        <v>45821</v>
      </c>
    </row>
    <row r="103" spans="1:22" ht="15" customHeight="1" x14ac:dyDescent="0.15">
      <c r="A103" s="5" t="s">
        <v>165</v>
      </c>
      <c r="B103" s="5" t="s">
        <v>174</v>
      </c>
      <c r="C103" s="5" t="s">
        <v>17</v>
      </c>
      <c r="D103" s="5" t="s">
        <v>10</v>
      </c>
      <c r="E103" s="5" t="s">
        <v>558</v>
      </c>
      <c r="F103" s="5"/>
      <c r="G103" s="5"/>
      <c r="H103" s="5" t="s">
        <v>813</v>
      </c>
      <c r="I103" s="5"/>
      <c r="J103" s="5" t="s">
        <v>995</v>
      </c>
      <c r="K103" s="5" t="s">
        <v>996</v>
      </c>
      <c r="L103" s="5" t="s">
        <v>997</v>
      </c>
      <c r="M103" s="5" t="s">
        <v>400</v>
      </c>
      <c r="N103" s="9">
        <v>45623</v>
      </c>
      <c r="O103" s="9" t="s">
        <v>399</v>
      </c>
      <c r="P103" s="10" t="s">
        <v>173</v>
      </c>
      <c r="Q103" s="5" t="s">
        <v>1135</v>
      </c>
      <c r="R103" s="5" t="s">
        <v>399</v>
      </c>
      <c r="S103" s="5"/>
      <c r="T103" s="16" t="str">
        <f>IF(F103="",E103,F103)</f>
        <v>SARF85</v>
      </c>
      <c r="U103" s="16" t="str">
        <f>H103&amp;I103</f>
        <v>香农吉祥1000指增一号私募证券投资基金</v>
      </c>
      <c r="V103" s="17">
        <f>IF(O103="",N103,O103)</f>
        <v>45623</v>
      </c>
    </row>
    <row r="104" spans="1:22" ht="15" customHeight="1" x14ac:dyDescent="0.15">
      <c r="A104" s="5" t="s">
        <v>165</v>
      </c>
      <c r="B104" s="5" t="s">
        <v>174</v>
      </c>
      <c r="C104" s="5" t="s">
        <v>17</v>
      </c>
      <c r="D104" s="5" t="s">
        <v>10</v>
      </c>
      <c r="E104" s="5" t="s">
        <v>555</v>
      </c>
      <c r="F104" s="5"/>
      <c r="G104" s="5"/>
      <c r="H104" s="5" t="s">
        <v>810</v>
      </c>
      <c r="I104" s="5"/>
      <c r="J104" s="5" t="s">
        <v>111</v>
      </c>
      <c r="K104" s="5" t="s">
        <v>112</v>
      </c>
      <c r="L104" s="5" t="s">
        <v>431</v>
      </c>
      <c r="M104" s="5" t="s">
        <v>23</v>
      </c>
      <c r="N104" s="9">
        <v>45817</v>
      </c>
      <c r="O104" s="9">
        <v>45842</v>
      </c>
      <c r="P104" s="10" t="s">
        <v>173</v>
      </c>
      <c r="Q104" s="5" t="s">
        <v>1139</v>
      </c>
      <c r="R104" s="5" t="s">
        <v>1183</v>
      </c>
      <c r="S104" s="5"/>
      <c r="T104" s="16" t="str">
        <f>IF(F104="",E104,F104)</f>
        <v>SAZJ82</v>
      </c>
      <c r="U104" s="16" t="str">
        <f>H104&amp;I104</f>
        <v>深度臻选1000指数增强1号私募证券投资基金</v>
      </c>
      <c r="V104" s="17">
        <f>IF(O104="",N104,O104)</f>
        <v>45842</v>
      </c>
    </row>
    <row r="105" spans="1:22" ht="15" customHeight="1" x14ac:dyDescent="0.15">
      <c r="A105" s="5" t="s">
        <v>165</v>
      </c>
      <c r="B105" s="5" t="s">
        <v>174</v>
      </c>
      <c r="C105" s="5" t="s">
        <v>27</v>
      </c>
      <c r="D105" s="5" t="s">
        <v>10</v>
      </c>
      <c r="E105" s="5" t="s">
        <v>563</v>
      </c>
      <c r="F105" s="5"/>
      <c r="G105" s="5"/>
      <c r="H105" s="5" t="s">
        <v>819</v>
      </c>
      <c r="I105" s="5"/>
      <c r="J105" s="5" t="s">
        <v>1005</v>
      </c>
      <c r="K105" s="5" t="s">
        <v>1006</v>
      </c>
      <c r="L105" s="5" t="s">
        <v>1007</v>
      </c>
      <c r="M105" s="5" t="s">
        <v>398</v>
      </c>
      <c r="N105" s="9">
        <v>45925</v>
      </c>
      <c r="O105" s="9">
        <v>45995</v>
      </c>
      <c r="P105" s="10" t="s">
        <v>173</v>
      </c>
      <c r="Q105" s="5" t="s">
        <v>1135</v>
      </c>
      <c r="R105" s="5"/>
      <c r="S105" s="5"/>
      <c r="T105" s="16" t="str">
        <f>IF(F105="",E105,F105)</f>
        <v>SBFJ93</v>
      </c>
      <c r="U105" s="16" t="str">
        <f>H105&amp;I105</f>
        <v>中利中证1000指数增强0号私募证券投资基金</v>
      </c>
      <c r="V105" s="17">
        <f>IF(O105="",N105,O105)</f>
        <v>45995</v>
      </c>
    </row>
    <row r="106" spans="1:22" ht="15" customHeight="1" x14ac:dyDescent="0.15">
      <c r="A106" s="5" t="s">
        <v>165</v>
      </c>
      <c r="B106" s="5" t="s">
        <v>174</v>
      </c>
      <c r="C106" s="5" t="s">
        <v>9</v>
      </c>
      <c r="D106" s="5" t="s">
        <v>10</v>
      </c>
      <c r="E106" s="5" t="s">
        <v>231</v>
      </c>
      <c r="F106" s="5"/>
      <c r="G106" s="5"/>
      <c r="H106" s="5" t="s">
        <v>232</v>
      </c>
      <c r="I106" s="5"/>
      <c r="J106" s="5" t="s">
        <v>233</v>
      </c>
      <c r="K106" s="5" t="s">
        <v>234</v>
      </c>
      <c r="L106" s="5" t="s">
        <v>999</v>
      </c>
      <c r="M106" s="5" t="s">
        <v>106</v>
      </c>
      <c r="N106" s="9">
        <v>44370</v>
      </c>
      <c r="O106" s="9"/>
      <c r="P106" s="10" t="s">
        <v>173</v>
      </c>
      <c r="Q106" s="5" t="s">
        <v>1135</v>
      </c>
      <c r="R106" s="5"/>
      <c r="S106" s="5"/>
      <c r="T106" s="16" t="str">
        <f>IF(F106="",E106,F106)</f>
        <v>SQW675</v>
      </c>
      <c r="U106" s="16" t="str">
        <f>H106&amp;I106</f>
        <v>衍复1000指增三号私募证券投资基金</v>
      </c>
      <c r="V106" s="17">
        <f>IF(O106="",N106,O106)</f>
        <v>44370</v>
      </c>
    </row>
    <row r="107" spans="1:22" ht="15" customHeight="1" x14ac:dyDescent="0.15">
      <c r="A107" s="5" t="s">
        <v>165</v>
      </c>
      <c r="B107" s="5" t="s">
        <v>174</v>
      </c>
      <c r="C107" s="5" t="s">
        <v>9</v>
      </c>
      <c r="D107" s="5" t="s">
        <v>10</v>
      </c>
      <c r="E107" s="5" t="s">
        <v>241</v>
      </c>
      <c r="F107" s="5"/>
      <c r="G107" s="5"/>
      <c r="H107" s="5" t="s">
        <v>242</v>
      </c>
      <c r="I107" s="5"/>
      <c r="J107" s="5" t="s">
        <v>213</v>
      </c>
      <c r="K107" s="5" t="s">
        <v>214</v>
      </c>
      <c r="L107" s="5"/>
      <c r="M107" s="5" t="s">
        <v>398</v>
      </c>
      <c r="N107" s="9">
        <v>44706</v>
      </c>
      <c r="O107" s="9"/>
      <c r="P107" s="10" t="s">
        <v>173</v>
      </c>
      <c r="Q107" s="5" t="s">
        <v>1139</v>
      </c>
      <c r="R107" s="5"/>
      <c r="S107" s="5"/>
      <c r="T107" s="16" t="str">
        <f>IF(F107="",E107,F107)</f>
        <v>SVS190</v>
      </c>
      <c r="U107" s="16" t="str">
        <f>H107&amp;I107</f>
        <v>宽德中证1000指数增强5号私募证券投资基金</v>
      </c>
      <c r="V107" s="17">
        <f>IF(O107="",N107,O107)</f>
        <v>44706</v>
      </c>
    </row>
    <row r="108" spans="1:22" ht="15" customHeight="1" x14ac:dyDescent="0.15">
      <c r="A108" s="5" t="s">
        <v>165</v>
      </c>
      <c r="B108" s="5" t="s">
        <v>174</v>
      </c>
      <c r="C108" s="5" t="s">
        <v>17</v>
      </c>
      <c r="D108" s="5" t="s">
        <v>10</v>
      </c>
      <c r="E108" s="5" t="s">
        <v>553</v>
      </c>
      <c r="F108" s="5"/>
      <c r="G108" s="5"/>
      <c r="H108" s="5" t="s">
        <v>806</v>
      </c>
      <c r="I108" s="5"/>
      <c r="J108" s="5" t="s">
        <v>950</v>
      </c>
      <c r="K108" s="5" t="s">
        <v>951</v>
      </c>
      <c r="L108" s="5" t="s">
        <v>406</v>
      </c>
      <c r="M108" s="5" t="s">
        <v>23</v>
      </c>
      <c r="N108" s="9">
        <v>44848</v>
      </c>
      <c r="O108" s="9" t="s">
        <v>399</v>
      </c>
      <c r="P108" s="10" t="s">
        <v>173</v>
      </c>
      <c r="Q108" s="5" t="s">
        <v>1139</v>
      </c>
      <c r="R108" s="5" t="s">
        <v>399</v>
      </c>
      <c r="S108" s="5"/>
      <c r="T108" s="16" t="str">
        <f>IF(F108="",E108,F108)</f>
        <v>SXN345</v>
      </c>
      <c r="U108" s="16" t="str">
        <f>H108&amp;I108</f>
        <v>平方和鼎盛中证1000指数增强8号私募证券投资基金</v>
      </c>
      <c r="V108" s="17">
        <f>IF(O108="",N108,O108)</f>
        <v>44848</v>
      </c>
    </row>
    <row r="109" spans="1:22" ht="15" customHeight="1" x14ac:dyDescent="0.15">
      <c r="A109" s="5" t="s">
        <v>165</v>
      </c>
      <c r="B109" s="5" t="s">
        <v>174</v>
      </c>
      <c r="C109" s="5" t="s">
        <v>27</v>
      </c>
      <c r="D109" s="5" t="s">
        <v>10</v>
      </c>
      <c r="E109" s="5" t="s">
        <v>561</v>
      </c>
      <c r="F109" s="5" t="s">
        <v>695</v>
      </c>
      <c r="G109" s="5"/>
      <c r="H109" s="5" t="s">
        <v>816</v>
      </c>
      <c r="I109" s="5" t="s">
        <v>817</v>
      </c>
      <c r="J109" s="5" t="s">
        <v>93</v>
      </c>
      <c r="K109" s="5" t="s">
        <v>914</v>
      </c>
      <c r="L109" s="5" t="s">
        <v>1003</v>
      </c>
      <c r="M109" s="5" t="s">
        <v>400</v>
      </c>
      <c r="N109" s="9">
        <v>44540</v>
      </c>
      <c r="O109" s="9">
        <v>45300</v>
      </c>
      <c r="P109" s="10"/>
      <c r="Q109" s="5" t="s">
        <v>1139</v>
      </c>
      <c r="R109" s="5" t="s">
        <v>434</v>
      </c>
      <c r="S109" s="5"/>
      <c r="T109" s="16" t="str">
        <f>IF(F109="",E109,F109)</f>
        <v>TF313D</v>
      </c>
      <c r="U109" s="16" t="str">
        <f>H109&amp;I109</f>
        <v>臻选进击的弗拉明戈私募证券投资基金D类</v>
      </c>
      <c r="V109" s="17">
        <f>IF(O109="",N109,O109)</f>
        <v>45300</v>
      </c>
    </row>
    <row r="110" spans="1:22" ht="15" customHeight="1" x14ac:dyDescent="0.15">
      <c r="A110" s="5" t="s">
        <v>165</v>
      </c>
      <c r="B110" s="5" t="s">
        <v>174</v>
      </c>
      <c r="C110" s="5" t="s">
        <v>27</v>
      </c>
      <c r="D110" s="5" t="s">
        <v>506</v>
      </c>
      <c r="E110" s="5" t="s">
        <v>551</v>
      </c>
      <c r="F110" s="5" t="s">
        <v>686</v>
      </c>
      <c r="G110" s="5"/>
      <c r="H110" s="5" t="s">
        <v>804</v>
      </c>
      <c r="I110" s="5" t="s">
        <v>82</v>
      </c>
      <c r="J110" s="5" t="s">
        <v>244</v>
      </c>
      <c r="K110" s="5" t="s">
        <v>245</v>
      </c>
      <c r="L110" s="5" t="s">
        <v>953</v>
      </c>
      <c r="M110" s="5" t="s">
        <v>87</v>
      </c>
      <c r="N110" s="9">
        <v>44641</v>
      </c>
      <c r="O110" s="9">
        <v>45233</v>
      </c>
      <c r="P110" s="10"/>
      <c r="Q110" s="5" t="s">
        <v>1139</v>
      </c>
      <c r="R110" s="5" t="s">
        <v>1223</v>
      </c>
      <c r="S110" s="5"/>
      <c r="T110" s="16" t="str">
        <f>IF(F110="",E110,F110)</f>
        <v>VH107B</v>
      </c>
      <c r="U110" s="16" t="str">
        <f>H110&amp;I110</f>
        <v>量派金选中证1000指数增强26号私募证券投资基金B类</v>
      </c>
      <c r="V110" s="17">
        <f>IF(O110="",N110,O110)</f>
        <v>45233</v>
      </c>
    </row>
    <row r="111" spans="1:22" ht="15" customHeight="1" x14ac:dyDescent="0.15">
      <c r="A111" s="5" t="s">
        <v>165</v>
      </c>
      <c r="B111" s="5" t="s">
        <v>174</v>
      </c>
      <c r="C111" s="5" t="s">
        <v>17</v>
      </c>
      <c r="D111" s="5" t="s">
        <v>10</v>
      </c>
      <c r="E111" s="5" t="s">
        <v>418</v>
      </c>
      <c r="F111" s="5" t="s">
        <v>683</v>
      </c>
      <c r="G111" s="5"/>
      <c r="H111" s="5" t="s">
        <v>802</v>
      </c>
      <c r="I111" s="5" t="s">
        <v>82</v>
      </c>
      <c r="J111" s="5" t="s">
        <v>419</v>
      </c>
      <c r="K111" s="5" t="s">
        <v>420</v>
      </c>
      <c r="L111" s="5" t="s">
        <v>980</v>
      </c>
      <c r="M111" s="5" t="s">
        <v>398</v>
      </c>
      <c r="N111" s="9">
        <v>44691</v>
      </c>
      <c r="O111" s="9" t="s">
        <v>399</v>
      </c>
      <c r="P111" s="10" t="s">
        <v>173</v>
      </c>
      <c r="Q111" s="5" t="s">
        <v>1135</v>
      </c>
      <c r="R111" s="5"/>
      <c r="S111" s="5"/>
      <c r="T111" s="16" t="str">
        <f>IF(F111="",E111,F111)</f>
        <v>VP774B</v>
      </c>
      <c r="U111" s="16" t="str">
        <f>H111&amp;I111</f>
        <v>合骥睿源1000增强3号私募证券投资基金B类</v>
      </c>
      <c r="V111" s="17">
        <f>IF(O111="",N111,O111)</f>
        <v>44691</v>
      </c>
    </row>
    <row r="112" spans="1:22" ht="15" customHeight="1" x14ac:dyDescent="0.15">
      <c r="A112" s="5" t="s">
        <v>165</v>
      </c>
      <c r="B112" s="5" t="s">
        <v>174</v>
      </c>
      <c r="C112" s="5" t="s">
        <v>17</v>
      </c>
      <c r="D112" s="5" t="s">
        <v>506</v>
      </c>
      <c r="E112" s="5" t="s">
        <v>553</v>
      </c>
      <c r="F112" s="5" t="s">
        <v>688</v>
      </c>
      <c r="G112" s="5"/>
      <c r="H112" s="5" t="s">
        <v>806</v>
      </c>
      <c r="I112" s="5" t="s">
        <v>82</v>
      </c>
      <c r="J112" s="5" t="s">
        <v>950</v>
      </c>
      <c r="K112" s="5" t="s">
        <v>951</v>
      </c>
      <c r="L112" s="5" t="s">
        <v>406</v>
      </c>
      <c r="M112" s="5" t="s">
        <v>23</v>
      </c>
      <c r="N112" s="9">
        <v>44848</v>
      </c>
      <c r="O112" s="9">
        <v>46003</v>
      </c>
      <c r="P112" s="10"/>
      <c r="Q112" s="5" t="s">
        <v>1135</v>
      </c>
      <c r="R112" s="5" t="s">
        <v>429</v>
      </c>
      <c r="S112" s="5"/>
      <c r="T112" s="16" t="str">
        <f>IF(F112="",E112,F112)</f>
        <v>XN345B</v>
      </c>
      <c r="U112" s="16" t="str">
        <f>H112&amp;I112</f>
        <v>平方和鼎盛中证1000指数增强8号私募证券投资基金B类</v>
      </c>
      <c r="V112" s="17">
        <f>IF(O112="",N112,O112)</f>
        <v>46003</v>
      </c>
    </row>
    <row r="113" spans="1:22" ht="15" customHeight="1" x14ac:dyDescent="0.15">
      <c r="A113" s="5" t="s">
        <v>165</v>
      </c>
      <c r="B113" s="5" t="s">
        <v>174</v>
      </c>
      <c r="C113" s="5" t="s">
        <v>9</v>
      </c>
      <c r="D113" s="5" t="s">
        <v>10</v>
      </c>
      <c r="E113" s="5" t="s">
        <v>550</v>
      </c>
      <c r="F113" s="5" t="s">
        <v>685</v>
      </c>
      <c r="G113" s="5"/>
      <c r="H113" s="5" t="s">
        <v>380</v>
      </c>
      <c r="I113" s="5" t="s">
        <v>47</v>
      </c>
      <c r="J113" s="5" t="s">
        <v>984</v>
      </c>
      <c r="K113" s="5" t="s">
        <v>985</v>
      </c>
      <c r="L113" s="5"/>
      <c r="M113" s="5" t="s">
        <v>87</v>
      </c>
      <c r="N113" s="9">
        <v>44901</v>
      </c>
      <c r="O113" s="9">
        <v>45821</v>
      </c>
      <c r="P113" s="10" t="s">
        <v>173</v>
      </c>
      <c r="Q113" s="5" t="s">
        <v>1139</v>
      </c>
      <c r="R113" s="5" t="s">
        <v>1228</v>
      </c>
      <c r="S113" s="5"/>
      <c r="T113" s="16" t="str">
        <f>IF(F113="",E113,F113)</f>
        <v>XW242A</v>
      </c>
      <c r="U113" s="16" t="str">
        <f>H113&amp;I113</f>
        <v>凯读青山私募证券投资基金A类</v>
      </c>
      <c r="V113" s="17">
        <f>IF(O113="",N113,O113)</f>
        <v>45821</v>
      </c>
    </row>
    <row r="114" spans="1:22" ht="15" customHeight="1" x14ac:dyDescent="0.15">
      <c r="A114" s="5" t="s">
        <v>165</v>
      </c>
      <c r="B114" s="5" t="s">
        <v>174</v>
      </c>
      <c r="C114" s="5" t="s">
        <v>27</v>
      </c>
      <c r="D114" s="5" t="s">
        <v>10</v>
      </c>
      <c r="E114" s="5" t="s">
        <v>220</v>
      </c>
      <c r="F114" s="5" t="s">
        <v>682</v>
      </c>
      <c r="G114" s="5"/>
      <c r="H114" s="5" t="s">
        <v>801</v>
      </c>
      <c r="I114" s="5" t="s">
        <v>47</v>
      </c>
      <c r="J114" s="5" t="s">
        <v>221</v>
      </c>
      <c r="K114" s="5" t="s">
        <v>222</v>
      </c>
      <c r="L114" s="5"/>
      <c r="M114" s="5" t="s">
        <v>398</v>
      </c>
      <c r="N114" s="9">
        <v>44946</v>
      </c>
      <c r="O114" s="9">
        <v>45170</v>
      </c>
      <c r="P114" s="10" t="s">
        <v>173</v>
      </c>
      <c r="Q114" s="5" t="s">
        <v>1139</v>
      </c>
      <c r="R114" s="5" t="s">
        <v>1234</v>
      </c>
      <c r="S114" s="5"/>
      <c r="T114" s="16" t="str">
        <f>IF(F114="",E114,F114)</f>
        <v>ZE926A</v>
      </c>
      <c r="U114" s="16" t="str">
        <f>H114&amp;I114</f>
        <v>芬德-环翼量化指增1号私募证券投资基金A类</v>
      </c>
      <c r="V114" s="17">
        <f>IF(O114="",N114,O114)</f>
        <v>45170</v>
      </c>
    </row>
    <row r="115" spans="1:22" ht="15" customHeight="1" x14ac:dyDescent="0.15">
      <c r="A115" s="5" t="s">
        <v>165</v>
      </c>
      <c r="B115" s="5" t="s">
        <v>197</v>
      </c>
      <c r="C115" s="5" t="s">
        <v>17</v>
      </c>
      <c r="D115" s="5" t="s">
        <v>10</v>
      </c>
      <c r="E115" s="5" t="s">
        <v>564</v>
      </c>
      <c r="F115" s="5" t="s">
        <v>443</v>
      </c>
      <c r="G115" s="5"/>
      <c r="H115" s="5" t="s">
        <v>820</v>
      </c>
      <c r="I115" s="5" t="s">
        <v>82</v>
      </c>
      <c r="J115" s="5" t="s">
        <v>419</v>
      </c>
      <c r="K115" s="5" t="s">
        <v>420</v>
      </c>
      <c r="L115" s="5" t="s">
        <v>980</v>
      </c>
      <c r="M115" s="5" t="s">
        <v>398</v>
      </c>
      <c r="N115" s="9">
        <v>45404</v>
      </c>
      <c r="O115" s="9"/>
      <c r="P115" s="10" t="s">
        <v>203</v>
      </c>
      <c r="Q115" s="5" t="s">
        <v>1135</v>
      </c>
      <c r="R115" s="5"/>
      <c r="S115" s="5"/>
      <c r="T115" s="16" t="str">
        <f>IF(F115="",E115,F115)</f>
        <v>AHC74B</v>
      </c>
      <c r="U115" s="16" t="str">
        <f>H115&amp;I115</f>
        <v>合骥睿源2000增强1号私募证券投资基金B类</v>
      </c>
      <c r="V115" s="17">
        <f>IF(O115="",N115,O115)</f>
        <v>45404</v>
      </c>
    </row>
    <row r="116" spans="1:22" ht="15" customHeight="1" x14ac:dyDescent="0.15">
      <c r="A116" s="5" t="s">
        <v>165</v>
      </c>
      <c r="B116" s="5" t="s">
        <v>197</v>
      </c>
      <c r="C116" s="5" t="s">
        <v>9</v>
      </c>
      <c r="D116" s="5" t="s">
        <v>10</v>
      </c>
      <c r="E116" s="5" t="s">
        <v>566</v>
      </c>
      <c r="F116" s="5" t="s">
        <v>697</v>
      </c>
      <c r="G116" s="5"/>
      <c r="H116" s="5" t="s">
        <v>822</v>
      </c>
      <c r="I116" s="5" t="s">
        <v>47</v>
      </c>
      <c r="J116" s="5" t="s">
        <v>984</v>
      </c>
      <c r="K116" s="5" t="s">
        <v>985</v>
      </c>
      <c r="L116" s="5" t="s">
        <v>1008</v>
      </c>
      <c r="M116" s="5" t="s">
        <v>87</v>
      </c>
      <c r="N116" s="9">
        <v>44019</v>
      </c>
      <c r="O116" s="9">
        <v>45352</v>
      </c>
      <c r="P116" s="10" t="s">
        <v>203</v>
      </c>
      <c r="Q116" s="5" t="s">
        <v>1139</v>
      </c>
      <c r="R116" s="5"/>
      <c r="S116" s="5"/>
      <c r="T116" s="16" t="str">
        <f>IF(F116="",E116,F116)</f>
        <v>LJ801A</v>
      </c>
      <c r="U116" s="16" t="str">
        <f>H116&amp;I116</f>
        <v>凯读投资中证2000指数增强1号私募证券投资基金A类</v>
      </c>
      <c r="V116" s="17">
        <f>IF(O116="",N116,O116)</f>
        <v>45352</v>
      </c>
    </row>
    <row r="117" spans="1:22" ht="15" customHeight="1" x14ac:dyDescent="0.15">
      <c r="A117" s="5" t="s">
        <v>165</v>
      </c>
      <c r="B117" s="5" t="s">
        <v>197</v>
      </c>
      <c r="C117" s="5" t="s">
        <v>9</v>
      </c>
      <c r="D117" s="5" t="s">
        <v>506</v>
      </c>
      <c r="E117" s="5" t="s">
        <v>566</v>
      </c>
      <c r="F117" s="5" t="s">
        <v>1172</v>
      </c>
      <c r="G117" s="5"/>
      <c r="H117" s="5" t="s">
        <v>822</v>
      </c>
      <c r="I117" s="5" t="s">
        <v>82</v>
      </c>
      <c r="J117" s="5" t="s">
        <v>984</v>
      </c>
      <c r="K117" s="5" t="s">
        <v>985</v>
      </c>
      <c r="L117" s="5" t="s">
        <v>1008</v>
      </c>
      <c r="M117" s="5" t="s">
        <v>87</v>
      </c>
      <c r="N117" s="9">
        <v>44019</v>
      </c>
      <c r="O117" s="9">
        <v>45352</v>
      </c>
      <c r="P117" s="10"/>
      <c r="Q117" s="5" t="s">
        <v>1139</v>
      </c>
      <c r="R117" s="5" t="s">
        <v>1171</v>
      </c>
      <c r="S117" s="5"/>
      <c r="T117" s="16" t="str">
        <f>IF(F117="",E117,F117)</f>
        <v>LJ801B</v>
      </c>
      <c r="U117" s="16" t="str">
        <f>H117&amp;I117</f>
        <v>凯读投资中证2000指数增强1号私募证券投资基金B类</v>
      </c>
      <c r="V117" s="17">
        <f>IF(O117="",N117,O117)</f>
        <v>45352</v>
      </c>
    </row>
    <row r="118" spans="1:22" ht="15" customHeight="1" x14ac:dyDescent="0.15">
      <c r="A118" s="5" t="s">
        <v>165</v>
      </c>
      <c r="B118" s="5" t="s">
        <v>197</v>
      </c>
      <c r="C118" s="5" t="s">
        <v>17</v>
      </c>
      <c r="D118" s="5" t="s">
        <v>10</v>
      </c>
      <c r="E118" s="5" t="s">
        <v>198</v>
      </c>
      <c r="F118" s="5"/>
      <c r="G118" s="5"/>
      <c r="H118" s="5" t="s">
        <v>199</v>
      </c>
      <c r="I118" s="5"/>
      <c r="J118" s="5" t="s">
        <v>200</v>
      </c>
      <c r="K118" s="5" t="s">
        <v>201</v>
      </c>
      <c r="L118" s="5" t="s">
        <v>202</v>
      </c>
      <c r="M118" s="5" t="s">
        <v>398</v>
      </c>
      <c r="N118" s="9">
        <v>45253</v>
      </c>
      <c r="O118" s="9"/>
      <c r="P118" s="10" t="s">
        <v>203</v>
      </c>
      <c r="Q118" s="5" t="s">
        <v>1139</v>
      </c>
      <c r="R118" s="5"/>
      <c r="S118" s="5"/>
      <c r="T118" s="16" t="str">
        <f>IF(F118="",E118,F118)</f>
        <v>SADQ96</v>
      </c>
      <c r="U118" s="16" t="str">
        <f>H118&amp;I118</f>
        <v>乐水小波增强二号私募证券投资基金</v>
      </c>
      <c r="V118" s="17">
        <f>IF(O118="",N118,O118)</f>
        <v>45253</v>
      </c>
    </row>
    <row r="119" spans="1:22" ht="15" customHeight="1" x14ac:dyDescent="0.15">
      <c r="A119" s="5" t="s">
        <v>165</v>
      </c>
      <c r="B119" s="5" t="s">
        <v>197</v>
      </c>
      <c r="C119" s="5" t="s">
        <v>17</v>
      </c>
      <c r="D119" s="5" t="s">
        <v>10</v>
      </c>
      <c r="E119" s="5" t="s">
        <v>567</v>
      </c>
      <c r="F119" s="5"/>
      <c r="G119" s="5"/>
      <c r="H119" s="5" t="s">
        <v>823</v>
      </c>
      <c r="I119" s="5"/>
      <c r="J119" s="5" t="s">
        <v>950</v>
      </c>
      <c r="K119" s="5" t="s">
        <v>951</v>
      </c>
      <c r="L119" s="5" t="s">
        <v>406</v>
      </c>
      <c r="M119" s="5" t="s">
        <v>1009</v>
      </c>
      <c r="N119" s="9">
        <v>45289</v>
      </c>
      <c r="O119" s="9" t="s">
        <v>399</v>
      </c>
      <c r="P119" s="10" t="s">
        <v>203</v>
      </c>
      <c r="Q119" s="5" t="s">
        <v>1139</v>
      </c>
      <c r="R119" s="5" t="s">
        <v>399</v>
      </c>
      <c r="S119" s="5"/>
      <c r="T119" s="16" t="str">
        <f>IF(F119="",E119,F119)</f>
        <v>SAEW78</v>
      </c>
      <c r="U119" s="16" t="str">
        <f>H119&amp;I119</f>
        <v>平方和鼎盛中证2000指数增强21号私募证券投资基金</v>
      </c>
      <c r="V119" s="17">
        <f>IF(O119="",N119,O119)</f>
        <v>45289</v>
      </c>
    </row>
    <row r="120" spans="1:22" ht="15" customHeight="1" x14ac:dyDescent="0.15">
      <c r="A120" s="5" t="s">
        <v>165</v>
      </c>
      <c r="B120" s="5" t="s">
        <v>197</v>
      </c>
      <c r="C120" s="5" t="s">
        <v>17</v>
      </c>
      <c r="D120" s="5" t="s">
        <v>10</v>
      </c>
      <c r="E120" s="5" t="s">
        <v>570</v>
      </c>
      <c r="F120" s="5"/>
      <c r="G120" s="5"/>
      <c r="H120" s="5" t="s">
        <v>826</v>
      </c>
      <c r="I120" s="5"/>
      <c r="J120" s="5" t="s">
        <v>995</v>
      </c>
      <c r="K120" s="5" t="s">
        <v>996</v>
      </c>
      <c r="L120" s="5" t="s">
        <v>997</v>
      </c>
      <c r="M120" s="5" t="s">
        <v>42</v>
      </c>
      <c r="N120" s="9">
        <v>45756</v>
      </c>
      <c r="O120" s="9" t="s">
        <v>399</v>
      </c>
      <c r="P120" s="10" t="s">
        <v>203</v>
      </c>
      <c r="Q120" s="5" t="s">
        <v>1139</v>
      </c>
      <c r="R120" s="5" t="s">
        <v>399</v>
      </c>
      <c r="S120" s="5"/>
      <c r="T120" s="16" t="str">
        <f>IF(F120="",E120,F120)</f>
        <v>SAWD90</v>
      </c>
      <c r="U120" s="16" t="str">
        <f>H120&amp;I120</f>
        <v>香农吉祥2000指增一号私募证券投资基金</v>
      </c>
      <c r="V120" s="17">
        <f>IF(O120="",N120,O120)</f>
        <v>45756</v>
      </c>
    </row>
    <row r="121" spans="1:22" ht="15" customHeight="1" x14ac:dyDescent="0.15">
      <c r="A121" s="5" t="s">
        <v>165</v>
      </c>
      <c r="B121" s="5" t="s">
        <v>197</v>
      </c>
      <c r="C121" s="5" t="s">
        <v>17</v>
      </c>
      <c r="D121" s="5" t="s">
        <v>506</v>
      </c>
      <c r="E121" s="5" t="s">
        <v>571</v>
      </c>
      <c r="F121" s="5"/>
      <c r="G121" s="5"/>
      <c r="H121" s="5" t="s">
        <v>827</v>
      </c>
      <c r="I121" s="5"/>
      <c r="J121" s="5" t="s">
        <v>1017</v>
      </c>
      <c r="K121" s="5" t="s">
        <v>1018</v>
      </c>
      <c r="L121" s="5" t="s">
        <v>1019</v>
      </c>
      <c r="M121" s="5" t="s">
        <v>42</v>
      </c>
      <c r="N121" s="9">
        <v>45747</v>
      </c>
      <c r="O121" s="9" t="s">
        <v>399</v>
      </c>
      <c r="P121" s="10"/>
      <c r="Q121" s="5" t="s">
        <v>1135</v>
      </c>
      <c r="R121" s="5"/>
      <c r="S121" s="5"/>
      <c r="T121" s="16" t="str">
        <f>IF(F121="",E121,F121)</f>
        <v>SAWP28</v>
      </c>
      <c r="U121" s="16" t="str">
        <f>H121&amp;I121</f>
        <v>正瀛骐骥指数增强37号私募证券投资基金</v>
      </c>
      <c r="V121" s="17">
        <f>IF(O121="",N121,O121)</f>
        <v>45747</v>
      </c>
    </row>
    <row r="122" spans="1:22" ht="15" customHeight="1" x14ac:dyDescent="0.15">
      <c r="A122" s="5" t="s">
        <v>165</v>
      </c>
      <c r="B122" s="5" t="s">
        <v>197</v>
      </c>
      <c r="C122" s="5" t="s">
        <v>17</v>
      </c>
      <c r="D122" s="5" t="s">
        <v>10</v>
      </c>
      <c r="E122" s="5" t="s">
        <v>569</v>
      </c>
      <c r="F122" s="5"/>
      <c r="G122" s="5"/>
      <c r="H122" s="5" t="s">
        <v>825</v>
      </c>
      <c r="I122" s="5"/>
      <c r="J122" s="5" t="s">
        <v>1014</v>
      </c>
      <c r="K122" s="5" t="s">
        <v>1015</v>
      </c>
      <c r="L122" s="5" t="s">
        <v>1016</v>
      </c>
      <c r="M122" s="5" t="s">
        <v>87</v>
      </c>
      <c r="N122" s="9">
        <v>44728</v>
      </c>
      <c r="O122" s="9">
        <v>45534</v>
      </c>
      <c r="P122" s="10"/>
      <c r="Q122" s="5" t="s">
        <v>1139</v>
      </c>
      <c r="R122" s="5" t="s">
        <v>432</v>
      </c>
      <c r="S122" s="5"/>
      <c r="T122" s="16" t="str">
        <f>IF(F122="",E122,F122)</f>
        <v>SVT259</v>
      </c>
      <c r="U122" s="16" t="str">
        <f>H122&amp;I122</f>
        <v>顽岩中证2000指数增强1号私募证券投资基金</v>
      </c>
      <c r="V122" s="17">
        <f>IF(O122="",N122,O122)</f>
        <v>45534</v>
      </c>
    </row>
    <row r="123" spans="1:22" ht="15" customHeight="1" x14ac:dyDescent="0.15">
      <c r="A123" s="5" t="s">
        <v>165</v>
      </c>
      <c r="B123" s="5" t="s">
        <v>197</v>
      </c>
      <c r="C123" s="5" t="s">
        <v>9</v>
      </c>
      <c r="D123" s="5" t="s">
        <v>506</v>
      </c>
      <c r="E123" s="5" t="s">
        <v>565</v>
      </c>
      <c r="F123" s="5"/>
      <c r="G123" s="5"/>
      <c r="H123" s="5" t="s">
        <v>821</v>
      </c>
      <c r="I123" s="5"/>
      <c r="J123" s="5" t="s">
        <v>984</v>
      </c>
      <c r="K123" s="5" t="s">
        <v>985</v>
      </c>
      <c r="L123" s="5" t="s">
        <v>1008</v>
      </c>
      <c r="M123" s="5" t="s">
        <v>400</v>
      </c>
      <c r="N123" s="9">
        <v>44937</v>
      </c>
      <c r="O123" s="9">
        <v>46003</v>
      </c>
      <c r="P123" s="10"/>
      <c r="Q123" s="5" t="s">
        <v>1139</v>
      </c>
      <c r="R123" s="5" t="s">
        <v>422</v>
      </c>
      <c r="S123" s="5"/>
      <c r="T123" s="16" t="str">
        <f>IF(F123="",E123,F123)</f>
        <v>SZC710</v>
      </c>
      <c r="U123" s="16" t="str">
        <f>H123&amp;I123</f>
        <v>凯读投资指数增强1号私募证券投资基金</v>
      </c>
      <c r="V123" s="17">
        <f>IF(O123="",N123,O123)</f>
        <v>46003</v>
      </c>
    </row>
    <row r="124" spans="1:22" ht="15" customHeight="1" x14ac:dyDescent="0.15">
      <c r="A124" s="5" t="s">
        <v>165</v>
      </c>
      <c r="B124" s="5" t="s">
        <v>194</v>
      </c>
      <c r="C124" s="5" t="s">
        <v>27</v>
      </c>
      <c r="D124" s="5" t="s">
        <v>10</v>
      </c>
      <c r="E124" s="5" t="s">
        <v>195</v>
      </c>
      <c r="F124" s="5"/>
      <c r="G124" s="5"/>
      <c r="H124" s="5" t="s">
        <v>196</v>
      </c>
      <c r="I124" s="5"/>
      <c r="J124" s="5" t="s">
        <v>187</v>
      </c>
      <c r="K124" s="5" t="s">
        <v>188</v>
      </c>
      <c r="L124" s="5" t="s">
        <v>189</v>
      </c>
      <c r="M124" s="5" t="s">
        <v>78</v>
      </c>
      <c r="N124" s="9">
        <v>44385</v>
      </c>
      <c r="O124" s="9"/>
      <c r="P124" s="10" t="s">
        <v>24</v>
      </c>
      <c r="Q124" s="5" t="s">
        <v>1139</v>
      </c>
      <c r="R124" s="5"/>
      <c r="S124" s="5" t="s">
        <v>492</v>
      </c>
      <c r="T124" s="16" t="str">
        <f>IF(F124="",E124,F124)</f>
        <v>SQZ004</v>
      </c>
      <c r="U124" s="16" t="str">
        <f>H124&amp;I124</f>
        <v>顺义成量化精选一号私募证券投资基金</v>
      </c>
      <c r="V124" s="17">
        <f>IF(O124="",N124,O124)</f>
        <v>44385</v>
      </c>
    </row>
    <row r="125" spans="1:22" ht="15" customHeight="1" x14ac:dyDescent="0.15">
      <c r="A125" s="5" t="s">
        <v>165</v>
      </c>
      <c r="B125" s="5" t="s">
        <v>194</v>
      </c>
      <c r="C125" s="5" t="s">
        <v>17</v>
      </c>
      <c r="D125" s="5" t="s">
        <v>10</v>
      </c>
      <c r="E125" s="5" t="s">
        <v>572</v>
      </c>
      <c r="F125" s="5"/>
      <c r="G125" s="5"/>
      <c r="H125" s="5" t="s">
        <v>829</v>
      </c>
      <c r="I125" s="5"/>
      <c r="J125" s="5" t="s">
        <v>950</v>
      </c>
      <c r="K125" s="5" t="s">
        <v>951</v>
      </c>
      <c r="L125" s="5" t="s">
        <v>406</v>
      </c>
      <c r="M125" s="5" t="s">
        <v>67</v>
      </c>
      <c r="N125" s="9">
        <v>45601</v>
      </c>
      <c r="O125" s="9" t="s">
        <v>399</v>
      </c>
      <c r="P125" s="10" t="s">
        <v>24</v>
      </c>
      <c r="Q125" s="5" t="s">
        <v>1139</v>
      </c>
      <c r="R125" s="5" t="s">
        <v>399</v>
      </c>
      <c r="S125" s="5"/>
      <c r="T125" s="16" t="str">
        <f>IF(F125="",E125,F125)</f>
        <v>SAKW02</v>
      </c>
      <c r="U125" s="16" t="str">
        <f>H125&amp;I125</f>
        <v>平方和鼎盛沪深300指数增强30号私募证券投资基金</v>
      </c>
      <c r="V125" s="17">
        <f>IF(O125="",N125,O125)</f>
        <v>45601</v>
      </c>
    </row>
    <row r="126" spans="1:22" ht="15" customHeight="1" x14ac:dyDescent="0.15">
      <c r="A126" s="5" t="s">
        <v>165</v>
      </c>
      <c r="B126" s="5" t="s">
        <v>194</v>
      </c>
      <c r="C126" s="5" t="s">
        <v>17</v>
      </c>
      <c r="D126" s="5" t="s">
        <v>506</v>
      </c>
      <c r="E126" s="5" t="s">
        <v>243</v>
      </c>
      <c r="F126" s="5" t="s">
        <v>699</v>
      </c>
      <c r="G126" s="5"/>
      <c r="H126" s="5" t="s">
        <v>828</v>
      </c>
      <c r="I126" s="5" t="s">
        <v>82</v>
      </c>
      <c r="J126" s="5" t="s">
        <v>244</v>
      </c>
      <c r="K126" s="5" t="s">
        <v>245</v>
      </c>
      <c r="L126" s="5" t="s">
        <v>953</v>
      </c>
      <c r="M126" s="5" t="s">
        <v>398</v>
      </c>
      <c r="N126" s="9">
        <v>44495</v>
      </c>
      <c r="O126" s="9"/>
      <c r="P126" s="10" t="s">
        <v>24</v>
      </c>
      <c r="Q126" s="5" t="s">
        <v>1139</v>
      </c>
      <c r="R126" s="5" t="s">
        <v>1199</v>
      </c>
      <c r="S126" s="5"/>
      <c r="T126" s="16" t="str">
        <f>IF(F126="",E126,F126)</f>
        <v>SS278B</v>
      </c>
      <c r="U126" s="16" t="str">
        <f>H126&amp;I126</f>
        <v>量派金选沪深300指数增强22号私募证券投资基金B类</v>
      </c>
      <c r="V126" s="17">
        <f>IF(O126="",N126,O126)</f>
        <v>44495</v>
      </c>
    </row>
    <row r="127" spans="1:22" ht="15" customHeight="1" x14ac:dyDescent="0.15">
      <c r="A127" s="5" t="s">
        <v>165</v>
      </c>
      <c r="B127" s="5" t="s">
        <v>190</v>
      </c>
      <c r="C127" s="5" t="s">
        <v>17</v>
      </c>
      <c r="D127" s="5" t="s">
        <v>506</v>
      </c>
      <c r="E127" s="5" t="s">
        <v>578</v>
      </c>
      <c r="F127" s="5" t="s">
        <v>1151</v>
      </c>
      <c r="G127" s="5"/>
      <c r="H127" s="5" t="s">
        <v>835</v>
      </c>
      <c r="I127" s="5" t="s">
        <v>82</v>
      </c>
      <c r="J127" s="5" t="s">
        <v>177</v>
      </c>
      <c r="K127" s="5" t="s">
        <v>178</v>
      </c>
      <c r="L127" s="5" t="s">
        <v>1004</v>
      </c>
      <c r="M127" s="5" t="s">
        <v>23</v>
      </c>
      <c r="N127" s="9">
        <v>45371</v>
      </c>
      <c r="O127" s="9" t="s">
        <v>399</v>
      </c>
      <c r="P127" s="10"/>
      <c r="Q127" s="5" t="s">
        <v>1135</v>
      </c>
      <c r="R127" s="5" t="s">
        <v>1152</v>
      </c>
      <c r="S127" s="5"/>
      <c r="T127" s="16" t="str">
        <f>IF(F127="",E127,F127)</f>
        <v>AHV52B</v>
      </c>
      <c r="U127" s="16" t="str">
        <f>H127&amp;I127</f>
        <v>正定中证500指数增强2号私募证券投资基金B类</v>
      </c>
      <c r="V127" s="17">
        <f>IF(O127="",N127,O127)</f>
        <v>45371</v>
      </c>
    </row>
    <row r="128" spans="1:22" ht="15" customHeight="1" x14ac:dyDescent="0.15">
      <c r="A128" s="5" t="s">
        <v>165</v>
      </c>
      <c r="B128" s="5" t="s">
        <v>190</v>
      </c>
      <c r="C128" s="5" t="s">
        <v>17</v>
      </c>
      <c r="D128" s="5" t="s">
        <v>10</v>
      </c>
      <c r="E128" s="5" t="s">
        <v>212</v>
      </c>
      <c r="F128" s="5" t="s">
        <v>702</v>
      </c>
      <c r="G128" s="5"/>
      <c r="H128" s="5" t="s">
        <v>836</v>
      </c>
      <c r="I128" s="5" t="s">
        <v>82</v>
      </c>
      <c r="J128" s="5" t="s">
        <v>177</v>
      </c>
      <c r="K128" s="5" t="s">
        <v>178</v>
      </c>
      <c r="L128" s="5" t="s">
        <v>1004</v>
      </c>
      <c r="M128" s="5" t="s">
        <v>398</v>
      </c>
      <c r="N128" s="9">
        <v>45601</v>
      </c>
      <c r="O128" s="9"/>
      <c r="P128" s="10" t="s">
        <v>193</v>
      </c>
      <c r="Q128" s="5" t="s">
        <v>1135</v>
      </c>
      <c r="R128" s="5"/>
      <c r="S128" s="5"/>
      <c r="T128" s="16" t="str">
        <f>IF(F128="",E128,F128)</f>
        <v>AQH31B</v>
      </c>
      <c r="U128" s="16" t="str">
        <f>H128&amp;I128</f>
        <v>正定中证500指数增强5号私募证券投资基金B类</v>
      </c>
      <c r="V128" s="17">
        <f>IF(O128="",N128,O128)</f>
        <v>45601</v>
      </c>
    </row>
    <row r="129" spans="1:22" ht="15" customHeight="1" x14ac:dyDescent="0.15">
      <c r="A129" s="5" t="s">
        <v>165</v>
      </c>
      <c r="B129" s="5" t="s">
        <v>190</v>
      </c>
      <c r="C129" s="5" t="s">
        <v>17</v>
      </c>
      <c r="D129" s="5" t="s">
        <v>506</v>
      </c>
      <c r="E129" s="5" t="s">
        <v>579</v>
      </c>
      <c r="F129" s="5" t="s">
        <v>703</v>
      </c>
      <c r="G129" s="5"/>
      <c r="H129" s="5" t="s">
        <v>837</v>
      </c>
      <c r="I129" s="5" t="s">
        <v>82</v>
      </c>
      <c r="J129" s="5" t="s">
        <v>177</v>
      </c>
      <c r="K129" s="5" t="s">
        <v>178</v>
      </c>
      <c r="L129" s="5" t="s">
        <v>1004</v>
      </c>
      <c r="M129" s="5" t="s">
        <v>400</v>
      </c>
      <c r="N129" s="9">
        <v>45631</v>
      </c>
      <c r="O129" s="9" t="s">
        <v>399</v>
      </c>
      <c r="P129" s="10"/>
      <c r="Q129" s="5" t="s">
        <v>1135</v>
      </c>
      <c r="R129" s="5"/>
      <c r="S129" s="5"/>
      <c r="T129" s="16" t="str">
        <f>IF(F129="",E129,F129)</f>
        <v>ARC95B</v>
      </c>
      <c r="U129" s="16" t="str">
        <f>H129&amp;I129</f>
        <v>正定中证500指数增强8号私募证券投资基金B类</v>
      </c>
      <c r="V129" s="17">
        <f>IF(O129="",N129,O129)</f>
        <v>45631</v>
      </c>
    </row>
    <row r="130" spans="1:22" ht="15" customHeight="1" x14ac:dyDescent="0.15">
      <c r="A130" s="5" t="s">
        <v>165</v>
      </c>
      <c r="B130" s="5" t="s">
        <v>190</v>
      </c>
      <c r="C130" s="5" t="s">
        <v>9</v>
      </c>
      <c r="D130" s="5" t="s">
        <v>506</v>
      </c>
      <c r="E130" s="5" t="s">
        <v>239</v>
      </c>
      <c r="F130" s="5" t="s">
        <v>1188</v>
      </c>
      <c r="G130" s="5"/>
      <c r="H130" s="5" t="s">
        <v>240</v>
      </c>
      <c r="I130" s="5" t="s">
        <v>82</v>
      </c>
      <c r="J130" s="5" t="s">
        <v>213</v>
      </c>
      <c r="K130" s="5" t="s">
        <v>214</v>
      </c>
      <c r="L130" s="5" t="s">
        <v>952</v>
      </c>
      <c r="M130" s="5" t="s">
        <v>237</v>
      </c>
      <c r="N130" s="9">
        <v>43725</v>
      </c>
      <c r="O130" s="9">
        <v>44421</v>
      </c>
      <c r="P130" s="10"/>
      <c r="Q130" s="5" t="s">
        <v>1139</v>
      </c>
      <c r="R130" s="5" t="s">
        <v>424</v>
      </c>
      <c r="S130" s="5"/>
      <c r="T130" s="16" t="str">
        <f>IF(F130="",E130,F130)</f>
        <v>JB320B</v>
      </c>
      <c r="U130" s="16" t="str">
        <f>H130&amp;I130</f>
        <v>宽德中证500指数增强2号私募证券投资基金B类</v>
      </c>
      <c r="V130" s="17">
        <f>IF(O130="",N130,O130)</f>
        <v>44421</v>
      </c>
    </row>
    <row r="131" spans="1:22" ht="15" customHeight="1" x14ac:dyDescent="0.15">
      <c r="A131" s="5" t="s">
        <v>165</v>
      </c>
      <c r="B131" s="5" t="s">
        <v>190</v>
      </c>
      <c r="C131" s="5" t="s">
        <v>17</v>
      </c>
      <c r="D131" s="5" t="s">
        <v>10</v>
      </c>
      <c r="E131" s="5" t="s">
        <v>191</v>
      </c>
      <c r="F131" s="5"/>
      <c r="G131" s="5"/>
      <c r="H131" s="5" t="s">
        <v>192</v>
      </c>
      <c r="I131" s="5"/>
      <c r="J131" s="5" t="s">
        <v>177</v>
      </c>
      <c r="K131" s="5" t="s">
        <v>178</v>
      </c>
      <c r="L131" s="5" t="s">
        <v>179</v>
      </c>
      <c r="M131" s="5" t="s">
        <v>398</v>
      </c>
      <c r="N131" s="9">
        <v>45183</v>
      </c>
      <c r="O131" s="9"/>
      <c r="P131" s="10" t="s">
        <v>193</v>
      </c>
      <c r="Q131" s="5" t="s">
        <v>25</v>
      </c>
      <c r="R131" s="5"/>
      <c r="S131" s="5"/>
      <c r="T131" s="16" t="str">
        <f>IF(F131="",E131,F131)</f>
        <v>SAAT35</v>
      </c>
      <c r="U131" s="16" t="str">
        <f>H131&amp;I131</f>
        <v>正定中证500指数增强1号私募证券投资基金</v>
      </c>
      <c r="V131" s="17">
        <f>IF(O131="",N131,O131)</f>
        <v>45183</v>
      </c>
    </row>
    <row r="132" spans="1:22" ht="15" customHeight="1" x14ac:dyDescent="0.15">
      <c r="A132" s="5" t="s">
        <v>165</v>
      </c>
      <c r="B132" s="5" t="s">
        <v>190</v>
      </c>
      <c r="C132" s="5" t="s">
        <v>17</v>
      </c>
      <c r="D132" s="5" t="s">
        <v>10</v>
      </c>
      <c r="E132" s="5" t="s">
        <v>577</v>
      </c>
      <c r="F132" s="5"/>
      <c r="G132" s="5"/>
      <c r="H132" s="5" t="s">
        <v>834</v>
      </c>
      <c r="I132" s="5"/>
      <c r="J132" s="5" t="s">
        <v>995</v>
      </c>
      <c r="K132" s="5" t="s">
        <v>996</v>
      </c>
      <c r="L132" s="5" t="s">
        <v>997</v>
      </c>
      <c r="M132" s="5" t="s">
        <v>23</v>
      </c>
      <c r="N132" s="9">
        <v>45615</v>
      </c>
      <c r="O132" s="9" t="s">
        <v>399</v>
      </c>
      <c r="P132" s="10" t="s">
        <v>193</v>
      </c>
      <c r="Q132" s="5" t="s">
        <v>1139</v>
      </c>
      <c r="R132" s="5" t="s">
        <v>399</v>
      </c>
      <c r="S132" s="5"/>
      <c r="T132" s="16" t="str">
        <f>IF(F132="",E132,F132)</f>
        <v>SAQM86</v>
      </c>
      <c r="U132" s="16" t="str">
        <f>H132&amp;I132</f>
        <v>香农吉祥500指增一号私募证券投资基金</v>
      </c>
      <c r="V132" s="17">
        <f>IF(O132="",N132,O132)</f>
        <v>45615</v>
      </c>
    </row>
    <row r="133" spans="1:22" ht="15" customHeight="1" x14ac:dyDescent="0.15">
      <c r="A133" s="5" t="s">
        <v>165</v>
      </c>
      <c r="B133" s="5" t="s">
        <v>190</v>
      </c>
      <c r="C133" s="5" t="s">
        <v>9</v>
      </c>
      <c r="D133" s="5" t="s">
        <v>10</v>
      </c>
      <c r="E133" s="5" t="s">
        <v>239</v>
      </c>
      <c r="F133" s="5"/>
      <c r="G133" s="5"/>
      <c r="H133" s="5" t="s">
        <v>240</v>
      </c>
      <c r="I133" s="5"/>
      <c r="J133" s="5" t="s">
        <v>213</v>
      </c>
      <c r="K133" s="5" t="s">
        <v>214</v>
      </c>
      <c r="L133" s="5" t="s">
        <v>952</v>
      </c>
      <c r="M133" s="5" t="s">
        <v>237</v>
      </c>
      <c r="N133" s="9">
        <v>43725</v>
      </c>
      <c r="O133" s="9">
        <v>45324</v>
      </c>
      <c r="P133" s="10" t="s">
        <v>193</v>
      </c>
      <c r="Q133" s="5" t="s">
        <v>1139</v>
      </c>
      <c r="R133" s="5" t="s">
        <v>1189</v>
      </c>
      <c r="S133" s="5"/>
      <c r="T133" s="16" t="str">
        <f>IF(F133="",E133,F133)</f>
        <v>SJB320</v>
      </c>
      <c r="U133" s="16" t="str">
        <f>H133&amp;I133</f>
        <v>宽德中证500指数增强2号私募证券投资基金</v>
      </c>
      <c r="V133" s="17">
        <f>IF(O133="",N133,O133)</f>
        <v>45324</v>
      </c>
    </row>
    <row r="134" spans="1:22" ht="15" customHeight="1" x14ac:dyDescent="0.15">
      <c r="A134" s="5" t="s">
        <v>165</v>
      </c>
      <c r="B134" s="5" t="s">
        <v>190</v>
      </c>
      <c r="C134" s="5" t="s">
        <v>17</v>
      </c>
      <c r="D134" s="5" t="s">
        <v>10</v>
      </c>
      <c r="E134" s="5" t="s">
        <v>575</v>
      </c>
      <c r="F134" s="5"/>
      <c r="G134" s="5"/>
      <c r="H134" s="5" t="s">
        <v>833</v>
      </c>
      <c r="I134" s="5"/>
      <c r="J134" s="5" t="s">
        <v>954</v>
      </c>
      <c r="K134" s="5" t="s">
        <v>955</v>
      </c>
      <c r="L134" s="5"/>
      <c r="M134" s="5" t="s">
        <v>42</v>
      </c>
      <c r="N134" s="9">
        <v>44468</v>
      </c>
      <c r="O134" s="9" t="s">
        <v>399</v>
      </c>
      <c r="P134" s="10" t="s">
        <v>193</v>
      </c>
      <c r="Q134" s="5" t="s">
        <v>1139</v>
      </c>
      <c r="R134" s="5" t="s">
        <v>399</v>
      </c>
      <c r="S134" s="5"/>
      <c r="T134" s="16" t="str">
        <f>IF(F134="",E134,F134)</f>
        <v>SSW402</v>
      </c>
      <c r="U134" s="16" t="str">
        <f>H134&amp;I134</f>
        <v>千衍六和2号私募证券投资基金</v>
      </c>
      <c r="V134" s="17">
        <f>IF(O134="",N134,O134)</f>
        <v>44468</v>
      </c>
    </row>
    <row r="135" spans="1:22" ht="15" customHeight="1" x14ac:dyDescent="0.15">
      <c r="A135" s="5" t="s">
        <v>165</v>
      </c>
      <c r="B135" s="5" t="s">
        <v>190</v>
      </c>
      <c r="C135" s="5" t="s">
        <v>17</v>
      </c>
      <c r="D135" s="5" t="s">
        <v>10</v>
      </c>
      <c r="E135" s="5" t="s">
        <v>574</v>
      </c>
      <c r="F135" s="5"/>
      <c r="G135" s="5"/>
      <c r="H135" s="5" t="s">
        <v>832</v>
      </c>
      <c r="I135" s="5"/>
      <c r="J135" s="5" t="s">
        <v>950</v>
      </c>
      <c r="K135" s="5" t="s">
        <v>951</v>
      </c>
      <c r="L135" s="5" t="s">
        <v>406</v>
      </c>
      <c r="M135" s="5" t="s">
        <v>67</v>
      </c>
      <c r="N135" s="9">
        <v>44890</v>
      </c>
      <c r="O135" s="9" t="s">
        <v>399</v>
      </c>
      <c r="P135" s="10" t="s">
        <v>193</v>
      </c>
      <c r="Q135" s="5" t="s">
        <v>1139</v>
      </c>
      <c r="R135" s="5" t="s">
        <v>399</v>
      </c>
      <c r="S135" s="5"/>
      <c r="T135" s="16" t="str">
        <f>IF(F135="",E135,F135)</f>
        <v>SXV406</v>
      </c>
      <c r="U135" s="16" t="str">
        <f>H135&amp;I135</f>
        <v>平方和鼎盛中证500指数增强9号私募证券投资基金</v>
      </c>
      <c r="V135" s="17">
        <f>IF(O135="",N135,O135)</f>
        <v>44890</v>
      </c>
    </row>
    <row r="136" spans="1:22" ht="15" customHeight="1" x14ac:dyDescent="0.15">
      <c r="A136" s="5" t="s">
        <v>165</v>
      </c>
      <c r="B136" s="5" t="s">
        <v>190</v>
      </c>
      <c r="C136" s="5" t="s">
        <v>27</v>
      </c>
      <c r="D136" s="5" t="s">
        <v>10</v>
      </c>
      <c r="E136" s="5" t="s">
        <v>573</v>
      </c>
      <c r="F136" s="5" t="s">
        <v>414</v>
      </c>
      <c r="G136" s="5"/>
      <c r="H136" s="5" t="s">
        <v>830</v>
      </c>
      <c r="I136" s="5" t="s">
        <v>82</v>
      </c>
      <c r="J136" s="5" t="s">
        <v>961</v>
      </c>
      <c r="K136" s="5" t="s">
        <v>962</v>
      </c>
      <c r="L136" s="5" t="s">
        <v>963</v>
      </c>
      <c r="M136" s="5" t="s">
        <v>23</v>
      </c>
      <c r="N136" s="9">
        <v>44580</v>
      </c>
      <c r="O136" s="9">
        <v>44603</v>
      </c>
      <c r="P136" s="10"/>
      <c r="Q136" s="5" t="s">
        <v>1135</v>
      </c>
      <c r="R136" s="5" t="s">
        <v>1218</v>
      </c>
      <c r="S136" s="5"/>
      <c r="T136" s="16" t="str">
        <f>IF(F136="",E136,F136)</f>
        <v>TT008B</v>
      </c>
      <c r="U136" s="16" t="str">
        <f>H136&amp;I136</f>
        <v>半鞅中证500指数增强私募证券投资基金B类</v>
      </c>
      <c r="V136" s="17">
        <f>IF(O136="",N136,O136)</f>
        <v>44603</v>
      </c>
    </row>
    <row r="137" spans="1:22" ht="15" customHeight="1" x14ac:dyDescent="0.15">
      <c r="A137" s="5" t="s">
        <v>165</v>
      </c>
      <c r="B137" s="5" t="s">
        <v>190</v>
      </c>
      <c r="C137" s="5" t="s">
        <v>17</v>
      </c>
      <c r="D137" s="5" t="s">
        <v>10</v>
      </c>
      <c r="E137" s="5" t="s">
        <v>421</v>
      </c>
      <c r="F137" s="5" t="s">
        <v>700</v>
      </c>
      <c r="G137" s="5"/>
      <c r="H137" s="5" t="s">
        <v>831</v>
      </c>
      <c r="I137" s="5" t="s">
        <v>82</v>
      </c>
      <c r="J137" s="5" t="s">
        <v>419</v>
      </c>
      <c r="K137" s="5" t="s">
        <v>420</v>
      </c>
      <c r="L137" s="5" t="s">
        <v>980</v>
      </c>
      <c r="M137" s="5" t="s">
        <v>400</v>
      </c>
      <c r="N137" s="9">
        <v>44621</v>
      </c>
      <c r="O137" s="9" t="s">
        <v>399</v>
      </c>
      <c r="P137" s="10" t="s">
        <v>193</v>
      </c>
      <c r="Q137" s="5" t="s">
        <v>1139</v>
      </c>
      <c r="R137" s="5"/>
      <c r="S137" s="5"/>
      <c r="T137" s="16" t="str">
        <f>IF(F137="",E137,F137)</f>
        <v>VC177B</v>
      </c>
      <c r="U137" s="16" t="str">
        <f>H137&amp;I137</f>
        <v>合骥睿源500增强2号私募证券投资基金B类</v>
      </c>
      <c r="V137" s="17">
        <f>IF(O137="",N137,O137)</f>
        <v>44621</v>
      </c>
    </row>
    <row r="138" spans="1:22" ht="15" customHeight="1" x14ac:dyDescent="0.15">
      <c r="A138" s="5" t="s">
        <v>165</v>
      </c>
      <c r="B138" s="5" t="s">
        <v>190</v>
      </c>
      <c r="C138" s="5" t="s">
        <v>17</v>
      </c>
      <c r="D138" s="5" t="s">
        <v>506</v>
      </c>
      <c r="E138" s="5" t="s">
        <v>574</v>
      </c>
      <c r="F138" s="5" t="s">
        <v>1311</v>
      </c>
      <c r="G138" s="5"/>
      <c r="H138" s="5" t="s">
        <v>832</v>
      </c>
      <c r="I138" s="5" t="s">
        <v>82</v>
      </c>
      <c r="J138" s="5" t="s">
        <v>950</v>
      </c>
      <c r="K138" s="5" t="s">
        <v>951</v>
      </c>
      <c r="L138" s="5" t="s">
        <v>406</v>
      </c>
      <c r="M138" s="5" t="s">
        <v>67</v>
      </c>
      <c r="N138" s="9">
        <v>44890</v>
      </c>
      <c r="O138" s="9">
        <v>44890</v>
      </c>
      <c r="P138" s="10"/>
      <c r="Q138" s="5"/>
      <c r="R138" s="5"/>
      <c r="S138" s="5"/>
      <c r="T138" s="16" t="str">
        <f>IF(F138="",E138,F138)</f>
        <v>XV406B</v>
      </c>
      <c r="U138" s="16" t="str">
        <f>H138&amp;I138</f>
        <v>平方和鼎盛中证500指数增强9号私募证券投资基金B类</v>
      </c>
      <c r="V138" s="17">
        <f>IF(O138="",N138,O138)</f>
        <v>44890</v>
      </c>
    </row>
    <row r="139" spans="1:22" ht="15" customHeight="1" x14ac:dyDescent="0.15">
      <c r="A139" s="5" t="s">
        <v>165</v>
      </c>
      <c r="B139" s="5" t="s">
        <v>190</v>
      </c>
      <c r="C139" s="5" t="s">
        <v>17</v>
      </c>
      <c r="D139" s="5" t="s">
        <v>10</v>
      </c>
      <c r="E139" s="5" t="s">
        <v>576</v>
      </c>
      <c r="F139" s="5" t="s">
        <v>701</v>
      </c>
      <c r="G139" s="5"/>
      <c r="H139" s="5" t="s">
        <v>1233</v>
      </c>
      <c r="I139" s="5" t="s">
        <v>82</v>
      </c>
      <c r="J139" s="5" t="s">
        <v>992</v>
      </c>
      <c r="K139" s="5" t="s">
        <v>993</v>
      </c>
      <c r="L139" s="5" t="s">
        <v>994</v>
      </c>
      <c r="M139" s="5" t="s">
        <v>398</v>
      </c>
      <c r="N139" s="9">
        <v>44979</v>
      </c>
      <c r="O139" s="9"/>
      <c r="P139" s="10" t="s">
        <v>193</v>
      </c>
      <c r="Q139" s="5" t="s">
        <v>1135</v>
      </c>
      <c r="R139" s="5" t="s">
        <v>1235</v>
      </c>
      <c r="S139" s="5"/>
      <c r="T139" s="16" t="str">
        <f>IF(F139="",E139,F139)</f>
        <v>ZH500B</v>
      </c>
      <c r="U139" s="16" t="str">
        <f>H139&amp;I139</f>
        <v>无涯中证500指数增强1号私募证券投资基金B类</v>
      </c>
      <c r="V139" s="17">
        <f>IF(O139="",N139,O139)</f>
        <v>44979</v>
      </c>
    </row>
    <row r="140" spans="1:22" ht="15" customHeight="1" x14ac:dyDescent="0.15">
      <c r="A140" s="5" t="s">
        <v>165</v>
      </c>
      <c r="B140" s="5" t="s">
        <v>467</v>
      </c>
      <c r="C140" s="5" t="s">
        <v>505</v>
      </c>
      <c r="D140" s="5" t="s">
        <v>506</v>
      </c>
      <c r="E140" s="5" t="s">
        <v>580</v>
      </c>
      <c r="F140" s="5" t="s">
        <v>704</v>
      </c>
      <c r="G140" s="5"/>
      <c r="H140" s="5" t="s">
        <v>1156</v>
      </c>
      <c r="I140" s="5" t="s">
        <v>82</v>
      </c>
      <c r="J140" s="5" t="s">
        <v>1020</v>
      </c>
      <c r="K140" s="5" t="s">
        <v>1021</v>
      </c>
      <c r="L140" s="5" t="s">
        <v>1022</v>
      </c>
      <c r="M140" s="5" t="s">
        <v>106</v>
      </c>
      <c r="N140" s="9">
        <v>45446</v>
      </c>
      <c r="O140" s="9">
        <v>45772</v>
      </c>
      <c r="P140" s="10"/>
      <c r="Q140" s="5" t="s">
        <v>1139</v>
      </c>
      <c r="R140" s="5" t="s">
        <v>1157</v>
      </c>
      <c r="S140" s="5"/>
      <c r="T140" s="16" t="str">
        <f>IF(F140="",E140,F140)</f>
        <v>ALM17B</v>
      </c>
      <c r="U140" s="16" t="str">
        <f>H140&amp;I140</f>
        <v>东恺中证A500锐私募证券投资基金B类</v>
      </c>
      <c r="V140" s="17">
        <f>IF(O140="",N140,O140)</f>
        <v>45772</v>
      </c>
    </row>
    <row r="141" spans="1:22" ht="15" customHeight="1" x14ac:dyDescent="0.15">
      <c r="A141" s="5" t="s">
        <v>165</v>
      </c>
      <c r="B141" s="5" t="s">
        <v>467</v>
      </c>
      <c r="C141" s="5" t="s">
        <v>505</v>
      </c>
      <c r="D141" s="5" t="s">
        <v>506</v>
      </c>
      <c r="E141" s="5" t="s">
        <v>581</v>
      </c>
      <c r="F141" s="5"/>
      <c r="G141" s="5"/>
      <c r="H141" s="5" t="s">
        <v>838</v>
      </c>
      <c r="I141" s="5"/>
      <c r="J141" s="5" t="s">
        <v>1023</v>
      </c>
      <c r="K141" s="5" t="s">
        <v>1024</v>
      </c>
      <c r="L141" s="5" t="s">
        <v>1025</v>
      </c>
      <c r="M141" s="5" t="s">
        <v>67</v>
      </c>
      <c r="N141" s="9">
        <v>45776</v>
      </c>
      <c r="O141" s="9">
        <v>45786</v>
      </c>
      <c r="P141" s="10"/>
      <c r="Q141" s="5" t="s">
        <v>1135</v>
      </c>
      <c r="R141" s="5" t="s">
        <v>433</v>
      </c>
      <c r="S141" s="5"/>
      <c r="T141" s="16" t="str">
        <f>IF(F141="",E141,F141)</f>
        <v>SATF00</v>
      </c>
      <c r="U141" s="16" t="str">
        <f>H141&amp;I141</f>
        <v>信弘中证A500指数增强2号量化私募证券投资基金</v>
      </c>
      <c r="V141" s="17">
        <f>IF(O141="",N141,O141)</f>
        <v>45786</v>
      </c>
    </row>
    <row r="142" spans="1:22" ht="15" customHeight="1" x14ac:dyDescent="0.15">
      <c r="A142" s="5" t="s">
        <v>165</v>
      </c>
      <c r="B142" s="5" t="s">
        <v>468</v>
      </c>
      <c r="C142" s="5" t="s">
        <v>27</v>
      </c>
      <c r="D142" s="5" t="s">
        <v>506</v>
      </c>
      <c r="E142" s="5" t="s">
        <v>1295</v>
      </c>
      <c r="F142" s="5" t="s">
        <v>1296</v>
      </c>
      <c r="G142" s="5"/>
      <c r="H142" s="5" t="s">
        <v>1297</v>
      </c>
      <c r="I142" s="5" t="s">
        <v>47</v>
      </c>
      <c r="J142" s="5" t="s">
        <v>1298</v>
      </c>
      <c r="K142" s="5" t="s">
        <v>1299</v>
      </c>
      <c r="L142" s="5"/>
      <c r="M142" s="5" t="s">
        <v>87</v>
      </c>
      <c r="N142" s="9">
        <v>45372</v>
      </c>
      <c r="O142" s="9">
        <v>45989</v>
      </c>
      <c r="P142" s="10"/>
      <c r="Q142" s="5"/>
      <c r="R142" s="5"/>
      <c r="S142" s="5" t="s">
        <v>493</v>
      </c>
      <c r="T142" s="16" t="str">
        <f>IF(F142="",E142,F142)</f>
        <v>AHQ01A</v>
      </c>
      <c r="U142" s="16" t="str">
        <f>H142&amp;I142</f>
        <v>珠池新众享私募证券投资基金A类</v>
      </c>
      <c r="V142" s="17">
        <f>IF(O142="",N142,O142)</f>
        <v>45989</v>
      </c>
    </row>
    <row r="143" spans="1:22" ht="15" customHeight="1" x14ac:dyDescent="0.15">
      <c r="A143" s="5" t="s">
        <v>165</v>
      </c>
      <c r="B143" s="5" t="s">
        <v>468</v>
      </c>
      <c r="C143" s="5" t="s">
        <v>27</v>
      </c>
      <c r="D143" s="5" t="s">
        <v>506</v>
      </c>
      <c r="E143" s="5" t="s">
        <v>583</v>
      </c>
      <c r="F143" s="5" t="s">
        <v>705</v>
      </c>
      <c r="G143" s="5"/>
      <c r="H143" s="5" t="s">
        <v>840</v>
      </c>
      <c r="I143" s="5" t="s">
        <v>47</v>
      </c>
      <c r="J143" s="5" t="s">
        <v>1029</v>
      </c>
      <c r="K143" s="5" t="s">
        <v>1030</v>
      </c>
      <c r="L143" s="5" t="s">
        <v>1031</v>
      </c>
      <c r="M143" s="5" t="s">
        <v>215</v>
      </c>
      <c r="N143" s="9">
        <v>45805</v>
      </c>
      <c r="O143" s="9" t="s">
        <v>399</v>
      </c>
      <c r="P143" s="10"/>
      <c r="Q143" s="5" t="s">
        <v>1135</v>
      </c>
      <c r="R143" s="5"/>
      <c r="S143" s="5"/>
      <c r="T143" s="16" t="str">
        <f>IF(F143="",E143,F143)</f>
        <v>AZC12A</v>
      </c>
      <c r="U143" s="16" t="str">
        <f>H143&amp;I143</f>
        <v>超量子诸市全选1号私募证券投资基金A类</v>
      </c>
      <c r="V143" s="17">
        <f>IF(O143="",N143,O143)</f>
        <v>45805</v>
      </c>
    </row>
    <row r="144" spans="1:22" ht="15" customHeight="1" x14ac:dyDescent="0.15">
      <c r="A144" s="5" t="s">
        <v>165</v>
      </c>
      <c r="B144" s="5" t="s">
        <v>468</v>
      </c>
      <c r="C144" s="5" t="s">
        <v>27</v>
      </c>
      <c r="D144" s="5" t="s">
        <v>10</v>
      </c>
      <c r="E144" s="5" t="s">
        <v>582</v>
      </c>
      <c r="F144" s="5" t="s">
        <v>415</v>
      </c>
      <c r="G144" s="5"/>
      <c r="H144" s="5" t="s">
        <v>839</v>
      </c>
      <c r="I144" s="5" t="s">
        <v>82</v>
      </c>
      <c r="J144" s="5" t="s">
        <v>1026</v>
      </c>
      <c r="K144" s="5" t="s">
        <v>1027</v>
      </c>
      <c r="L144" s="5" t="s">
        <v>1028</v>
      </c>
      <c r="M144" s="5" t="s">
        <v>398</v>
      </c>
      <c r="N144" s="9">
        <v>46000</v>
      </c>
      <c r="O144" s="9">
        <v>46031</v>
      </c>
      <c r="P144" s="10"/>
      <c r="Q144" s="5" t="s">
        <v>1135</v>
      </c>
      <c r="R144" s="5" t="s">
        <v>416</v>
      </c>
      <c r="S144" s="5"/>
      <c r="T144" s="16" t="str">
        <f>IF(F144="",E144,F144)</f>
        <v>BKR00B</v>
      </c>
      <c r="U144" s="16" t="str">
        <f>H144&amp;I144</f>
        <v>伯兄颐德私募证券投资基金B类</v>
      </c>
      <c r="V144" s="17">
        <f>IF(O144="",N144,O144)</f>
        <v>46031</v>
      </c>
    </row>
    <row r="145" spans="1:22" ht="15" customHeight="1" x14ac:dyDescent="0.15">
      <c r="A145" s="5" t="s">
        <v>165</v>
      </c>
      <c r="B145" s="5" t="s">
        <v>469</v>
      </c>
      <c r="C145" s="5" t="s">
        <v>17</v>
      </c>
      <c r="D145" s="5" t="s">
        <v>10</v>
      </c>
      <c r="E145" s="5" t="s">
        <v>584</v>
      </c>
      <c r="F145" s="5" t="s">
        <v>706</v>
      </c>
      <c r="G145" s="5"/>
      <c r="H145" s="5" t="s">
        <v>841</v>
      </c>
      <c r="I145" s="5" t="s">
        <v>47</v>
      </c>
      <c r="J145" s="5" t="s">
        <v>184</v>
      </c>
      <c r="K145" s="5" t="s">
        <v>185</v>
      </c>
      <c r="L145" s="5" t="s">
        <v>186</v>
      </c>
      <c r="M145" s="5" t="s">
        <v>398</v>
      </c>
      <c r="N145" s="9">
        <v>45926</v>
      </c>
      <c r="O145" s="9" t="s">
        <v>399</v>
      </c>
      <c r="P145" s="10"/>
      <c r="Q145" s="5" t="s">
        <v>1139</v>
      </c>
      <c r="R145" s="5"/>
      <c r="S145" s="5"/>
      <c r="T145" s="16" t="str">
        <f>IF(F145="",E145,F145)</f>
        <v>BFV58A</v>
      </c>
      <c r="U145" s="16" t="str">
        <f>H145&amp;I145</f>
        <v>泓原东湖2号私募证券投资基金A类</v>
      </c>
      <c r="V145" s="17">
        <f>IF(O145="",N145,O145)</f>
        <v>45926</v>
      </c>
    </row>
    <row r="146" spans="1:22" ht="15" customHeight="1" x14ac:dyDescent="0.15">
      <c r="A146" s="5" t="s">
        <v>165</v>
      </c>
      <c r="B146" s="5" t="s">
        <v>204</v>
      </c>
      <c r="C146" s="5" t="s">
        <v>17</v>
      </c>
      <c r="D146" s="5" t="s">
        <v>506</v>
      </c>
      <c r="E146" s="5" t="s">
        <v>1334</v>
      </c>
      <c r="F146" s="5"/>
      <c r="G146" s="5"/>
      <c r="H146" s="5" t="s">
        <v>1335</v>
      </c>
      <c r="I146" s="5"/>
      <c r="J146" s="5" t="s">
        <v>1042</v>
      </c>
      <c r="K146" s="5" t="s">
        <v>1043</v>
      </c>
      <c r="L146" s="5"/>
      <c r="M146" s="5" t="s">
        <v>23</v>
      </c>
      <c r="N146" s="9">
        <v>45827</v>
      </c>
      <c r="O146" s="9">
        <v>45828</v>
      </c>
      <c r="P146" s="10"/>
      <c r="Q146" s="5"/>
      <c r="R146" s="5"/>
      <c r="S146" s="5" t="s">
        <v>1353</v>
      </c>
      <c r="T146" s="16" t="str">
        <f>IF(F146="",E146,F146)</f>
        <v>SAZK21</v>
      </c>
      <c r="U146" s="16" t="str">
        <f>H146&amp;I146</f>
        <v>正仁股票择时三期私募证券投资基金</v>
      </c>
      <c r="V146" s="17">
        <f>IF(O146="",N146,O146)</f>
        <v>45828</v>
      </c>
    </row>
    <row r="147" spans="1:22" ht="15" customHeight="1" x14ac:dyDescent="0.15">
      <c r="A147" s="13" t="s">
        <v>165</v>
      </c>
      <c r="B147" s="13" t="s">
        <v>204</v>
      </c>
      <c r="C147" s="13" t="s">
        <v>9</v>
      </c>
      <c r="D147" s="13" t="s">
        <v>10</v>
      </c>
      <c r="E147" s="13" t="s">
        <v>587</v>
      </c>
      <c r="F147" s="13"/>
      <c r="G147" s="13"/>
      <c r="H147" s="13" t="s">
        <v>1208</v>
      </c>
      <c r="I147" s="13"/>
      <c r="J147" s="13" t="s">
        <v>1035</v>
      </c>
      <c r="K147" s="13" t="s">
        <v>1036</v>
      </c>
      <c r="L147" s="13" t="s">
        <v>1037</v>
      </c>
      <c r="M147" s="13" t="s">
        <v>87</v>
      </c>
      <c r="N147" s="14">
        <v>44662</v>
      </c>
      <c r="O147" s="14" t="s">
        <v>399</v>
      </c>
      <c r="P147" s="15"/>
      <c r="Q147" s="13" t="s">
        <v>1139</v>
      </c>
      <c r="R147" s="13" t="s">
        <v>1240</v>
      </c>
      <c r="S147" s="13" t="s">
        <v>494</v>
      </c>
      <c r="T147" s="16" t="str">
        <f>IF(F147="",E147,F147)</f>
        <v>SVC879</v>
      </c>
      <c r="U147" s="16" t="str">
        <f>H147&amp;I147</f>
        <v>瀚鑫泰安十一号私募证券投资基金</v>
      </c>
      <c r="V147" s="17">
        <f>IF(O147="",N147,O147)</f>
        <v>44662</v>
      </c>
    </row>
    <row r="148" spans="1:22" ht="15" customHeight="1" x14ac:dyDescent="0.15">
      <c r="A148" s="5" t="s">
        <v>165</v>
      </c>
      <c r="B148" s="5" t="s">
        <v>204</v>
      </c>
      <c r="C148" s="5" t="s">
        <v>9</v>
      </c>
      <c r="D148" s="5" t="s">
        <v>506</v>
      </c>
      <c r="E148" s="5" t="s">
        <v>588</v>
      </c>
      <c r="F148" s="5" t="s">
        <v>711</v>
      </c>
      <c r="G148" s="5"/>
      <c r="H148" s="5" t="s">
        <v>846</v>
      </c>
      <c r="I148" s="5" t="s">
        <v>47</v>
      </c>
      <c r="J148" s="5" t="s">
        <v>1035</v>
      </c>
      <c r="K148" s="5" t="s">
        <v>1036</v>
      </c>
      <c r="L148" s="5" t="s">
        <v>1037</v>
      </c>
      <c r="M148" s="5" t="s">
        <v>64</v>
      </c>
      <c r="N148" s="9">
        <v>44931</v>
      </c>
      <c r="O148" s="9">
        <v>44974</v>
      </c>
      <c r="P148" s="10"/>
      <c r="Q148" s="5" t="s">
        <v>1135</v>
      </c>
      <c r="R148" s="5" t="s">
        <v>417</v>
      </c>
      <c r="S148" s="5" t="s">
        <v>494</v>
      </c>
      <c r="T148" s="16" t="str">
        <f>IF(F148="",E148,F148)</f>
        <v>ZC020A</v>
      </c>
      <c r="U148" s="16" t="str">
        <f>H148&amp;I148</f>
        <v>瀚鑫纸鸢量化优选私募证券投资基金A类</v>
      </c>
      <c r="V148" s="17">
        <f>IF(O148="",N148,O148)</f>
        <v>44974</v>
      </c>
    </row>
    <row r="149" spans="1:22" ht="15" customHeight="1" x14ac:dyDescent="0.15">
      <c r="A149" s="5" t="s">
        <v>165</v>
      </c>
      <c r="B149" s="5" t="s">
        <v>204</v>
      </c>
      <c r="C149" s="5" t="s">
        <v>27</v>
      </c>
      <c r="D149" s="5" t="s">
        <v>10</v>
      </c>
      <c r="E149" s="5" t="s">
        <v>205</v>
      </c>
      <c r="F149" s="5" t="s">
        <v>709</v>
      </c>
      <c r="G149" s="5"/>
      <c r="H149" s="5" t="s">
        <v>844</v>
      </c>
      <c r="I149" s="5" t="s">
        <v>82</v>
      </c>
      <c r="J149" s="5" t="s">
        <v>206</v>
      </c>
      <c r="K149" s="5" t="s">
        <v>207</v>
      </c>
      <c r="L149" s="5" t="s">
        <v>257</v>
      </c>
      <c r="M149" s="5" t="s">
        <v>87</v>
      </c>
      <c r="N149" s="9">
        <v>45299</v>
      </c>
      <c r="O149" s="9"/>
      <c r="P149" s="10" t="s">
        <v>173</v>
      </c>
      <c r="Q149" s="5" t="s">
        <v>1139</v>
      </c>
      <c r="R149" s="5"/>
      <c r="S149" s="5" t="s">
        <v>492</v>
      </c>
      <c r="T149" s="16" t="str">
        <f>IF(F149="",E149,F149)</f>
        <v>AFD88B</v>
      </c>
      <c r="U149" s="16" t="str">
        <f>H149&amp;I149</f>
        <v>敦钰乐山稳健1号私募证券投资基金B类</v>
      </c>
      <c r="V149" s="17">
        <f>IF(O149="",N149,O149)</f>
        <v>45299</v>
      </c>
    </row>
    <row r="150" spans="1:22" ht="15" customHeight="1" x14ac:dyDescent="0.15">
      <c r="A150" s="5" t="s">
        <v>165</v>
      </c>
      <c r="B150" s="5" t="s">
        <v>204</v>
      </c>
      <c r="C150" s="5" t="s">
        <v>27</v>
      </c>
      <c r="D150" s="5" t="s">
        <v>10</v>
      </c>
      <c r="E150" s="5" t="s">
        <v>246</v>
      </c>
      <c r="F150" s="5" t="s">
        <v>710</v>
      </c>
      <c r="G150" s="5"/>
      <c r="H150" s="5" t="s">
        <v>845</v>
      </c>
      <c r="I150" s="5" t="s">
        <v>82</v>
      </c>
      <c r="J150" s="5" t="s">
        <v>206</v>
      </c>
      <c r="K150" s="5" t="s">
        <v>207</v>
      </c>
      <c r="L150" s="5" t="s">
        <v>257</v>
      </c>
      <c r="M150" s="5" t="s">
        <v>87</v>
      </c>
      <c r="N150" s="9">
        <v>45421</v>
      </c>
      <c r="O150" s="9"/>
      <c r="P150" s="10" t="s">
        <v>173</v>
      </c>
      <c r="Q150" s="5" t="s">
        <v>1135</v>
      </c>
      <c r="R150" s="5" t="s">
        <v>1154</v>
      </c>
      <c r="S150" s="5" t="s">
        <v>492</v>
      </c>
      <c r="T150" s="16" t="str">
        <f>IF(F150="",E150,F150)</f>
        <v>AKP73B</v>
      </c>
      <c r="U150" s="16" t="str">
        <f>H150&amp;I150</f>
        <v>敦钰乐山稳健2号私募证券投资基金B类</v>
      </c>
      <c r="V150" s="17">
        <f>IF(O150="",N150,O150)</f>
        <v>45421</v>
      </c>
    </row>
    <row r="151" spans="1:22" ht="15" customHeight="1" x14ac:dyDescent="0.15">
      <c r="A151" s="5" t="s">
        <v>165</v>
      </c>
      <c r="B151" s="5" t="s">
        <v>204</v>
      </c>
      <c r="C151" s="5" t="s">
        <v>17</v>
      </c>
      <c r="D151" s="5" t="s">
        <v>10</v>
      </c>
      <c r="E151" s="5" t="s">
        <v>591</v>
      </c>
      <c r="F151" s="5" t="s">
        <v>712</v>
      </c>
      <c r="G151" s="5"/>
      <c r="H151" s="5" t="s">
        <v>847</v>
      </c>
      <c r="I151" s="5" t="s">
        <v>82</v>
      </c>
      <c r="J151" s="5" t="s">
        <v>1005</v>
      </c>
      <c r="K151" s="5" t="s">
        <v>1006</v>
      </c>
      <c r="L151" s="5" t="s">
        <v>1045</v>
      </c>
      <c r="M151" s="5" t="s">
        <v>400</v>
      </c>
      <c r="N151" s="9">
        <v>45804</v>
      </c>
      <c r="O151" s="9">
        <v>45828</v>
      </c>
      <c r="P151" s="10"/>
      <c r="Q151" s="5" t="s">
        <v>1135</v>
      </c>
      <c r="R151" s="5"/>
      <c r="S151" s="5"/>
      <c r="T151" s="16" t="str">
        <f>IF(F151="",E151,F151)</f>
        <v>AXV39B</v>
      </c>
      <c r="U151" s="16" t="str">
        <f>H151&amp;I151</f>
        <v>中利云帆济海私募证券投资基金B类</v>
      </c>
      <c r="V151" s="17">
        <f>IF(O151="",N151,O151)</f>
        <v>45828</v>
      </c>
    </row>
    <row r="152" spans="1:22" ht="15" customHeight="1" x14ac:dyDescent="0.15">
      <c r="A152" s="5" t="s">
        <v>165</v>
      </c>
      <c r="B152" s="5" t="s">
        <v>204</v>
      </c>
      <c r="C152" s="5" t="s">
        <v>17</v>
      </c>
      <c r="D152" s="5" t="s">
        <v>506</v>
      </c>
      <c r="E152" s="5" t="s">
        <v>1331</v>
      </c>
      <c r="F152" s="5" t="s">
        <v>1332</v>
      </c>
      <c r="G152" s="5"/>
      <c r="H152" s="5" t="s">
        <v>1333</v>
      </c>
      <c r="I152" s="5" t="s">
        <v>82</v>
      </c>
      <c r="J152" s="5" t="s">
        <v>1042</v>
      </c>
      <c r="K152" s="5" t="s">
        <v>1043</v>
      </c>
      <c r="L152" s="5"/>
      <c r="M152" s="5" t="s">
        <v>87</v>
      </c>
      <c r="N152" s="9">
        <v>45813</v>
      </c>
      <c r="O152" s="9">
        <v>45823</v>
      </c>
      <c r="P152" s="10"/>
      <c r="Q152" s="5"/>
      <c r="R152" s="5"/>
      <c r="S152" s="5"/>
      <c r="T152" s="16" t="str">
        <f>IF(F152="",E152,F152)</f>
        <v>AZL72B</v>
      </c>
      <c r="U152" s="16" t="str">
        <f>H152&amp;I152</f>
        <v>正仁择时量化选股四期私募证券投资基金B类</v>
      </c>
      <c r="V152" s="17">
        <f>IF(O152="",N152,O152)</f>
        <v>45823</v>
      </c>
    </row>
    <row r="153" spans="1:22" ht="15" customHeight="1" x14ac:dyDescent="0.15">
      <c r="A153" s="5" t="s">
        <v>165</v>
      </c>
      <c r="B153" s="5" t="s">
        <v>204</v>
      </c>
      <c r="C153" s="5" t="s">
        <v>27</v>
      </c>
      <c r="D153" s="5" t="s">
        <v>10</v>
      </c>
      <c r="E153" s="5" t="s">
        <v>1350</v>
      </c>
      <c r="F153" s="5" t="s">
        <v>1351</v>
      </c>
      <c r="G153" s="5"/>
      <c r="H153" s="5" t="s">
        <v>1352</v>
      </c>
      <c r="I153" s="5" t="s">
        <v>82</v>
      </c>
      <c r="J153" s="5" t="s">
        <v>260</v>
      </c>
      <c r="K153" s="5" t="s">
        <v>261</v>
      </c>
      <c r="L153" s="5"/>
      <c r="M153" s="5" t="s">
        <v>398</v>
      </c>
      <c r="N153" s="9">
        <v>45876</v>
      </c>
      <c r="O153" s="9">
        <v>45877</v>
      </c>
      <c r="P153" s="10"/>
      <c r="Q153" s="5"/>
      <c r="R153" s="5"/>
      <c r="S153" s="5"/>
      <c r="T153" s="16" t="str">
        <f>IF(F153="",E153,F153)</f>
        <v>BDJ04B</v>
      </c>
      <c r="U153" s="16" t="str">
        <f>H153&amp;I153</f>
        <v>奇盾量化优选1号私募证券投资基金B类</v>
      </c>
      <c r="V153" s="17">
        <f>IF(O153="",N153,O153)</f>
        <v>45877</v>
      </c>
    </row>
    <row r="154" spans="1:22" ht="15" customHeight="1" x14ac:dyDescent="0.15">
      <c r="A154" s="5" t="s">
        <v>165</v>
      </c>
      <c r="B154" s="5" t="s">
        <v>204</v>
      </c>
      <c r="C154" s="5" t="s">
        <v>17</v>
      </c>
      <c r="D154" s="5" t="s">
        <v>10</v>
      </c>
      <c r="E154" s="5" t="s">
        <v>590</v>
      </c>
      <c r="F154" s="5"/>
      <c r="G154" s="5"/>
      <c r="H154" s="5" t="s">
        <v>386</v>
      </c>
      <c r="I154" s="5"/>
      <c r="J154" s="5" t="s">
        <v>1042</v>
      </c>
      <c r="K154" s="5" t="s">
        <v>1043</v>
      </c>
      <c r="L154" s="5" t="s">
        <v>1044</v>
      </c>
      <c r="M154" s="5" t="s">
        <v>23</v>
      </c>
      <c r="N154" s="9">
        <v>45618</v>
      </c>
      <c r="O154" s="9"/>
      <c r="P154" s="10" t="s">
        <v>173</v>
      </c>
      <c r="Q154" s="5" t="s">
        <v>1139</v>
      </c>
      <c r="R154" s="5"/>
      <c r="S154" s="5"/>
      <c r="T154" s="16" t="str">
        <f>IF(F154="",E154,F154)</f>
        <v>SARD76</v>
      </c>
      <c r="U154" s="16" t="str">
        <f>H154&amp;I154</f>
        <v>正仁股票择时一期私募证券投资基金</v>
      </c>
      <c r="V154" s="17">
        <f>IF(O154="",N154,O154)</f>
        <v>45618</v>
      </c>
    </row>
    <row r="155" spans="1:22" ht="15" customHeight="1" x14ac:dyDescent="0.15">
      <c r="A155" s="5" t="s">
        <v>165</v>
      </c>
      <c r="B155" s="5" t="s">
        <v>204</v>
      </c>
      <c r="C155" s="5" t="s">
        <v>17</v>
      </c>
      <c r="D155" s="5" t="s">
        <v>10</v>
      </c>
      <c r="E155" s="5" t="s">
        <v>1336</v>
      </c>
      <c r="F155" s="5"/>
      <c r="G155" s="5"/>
      <c r="H155" s="5" t="s">
        <v>1337</v>
      </c>
      <c r="I155" s="5"/>
      <c r="J155" s="5" t="s">
        <v>1338</v>
      </c>
      <c r="K155" s="5" t="s">
        <v>1339</v>
      </c>
      <c r="L155" s="5"/>
      <c r="M155" s="5" t="s">
        <v>400</v>
      </c>
      <c r="N155" s="9">
        <v>45679</v>
      </c>
      <c r="O155" s="9">
        <v>45681</v>
      </c>
      <c r="P155" s="10"/>
      <c r="Q155" s="5"/>
      <c r="R155" s="5"/>
      <c r="S155" s="5"/>
      <c r="T155" s="16" t="str">
        <f>IF(F155="",E155,F155)</f>
        <v>SATG85</v>
      </c>
      <c r="U155" s="16" t="str">
        <f>H155&amp;I155</f>
        <v>九招怒放一号私募证券投资基金</v>
      </c>
      <c r="V155" s="17">
        <f>IF(O155="",N155,O155)</f>
        <v>45681</v>
      </c>
    </row>
    <row r="156" spans="1:22" ht="15" customHeight="1" x14ac:dyDescent="0.15">
      <c r="A156" s="5" t="s">
        <v>165</v>
      </c>
      <c r="B156" s="5" t="s">
        <v>204</v>
      </c>
      <c r="C156" s="5" t="s">
        <v>17</v>
      </c>
      <c r="D156" s="5" t="s">
        <v>10</v>
      </c>
      <c r="E156" s="5" t="s">
        <v>216</v>
      </c>
      <c r="F156" s="5"/>
      <c r="G156" s="5"/>
      <c r="H156" s="5" t="s">
        <v>217</v>
      </c>
      <c r="I156" s="5"/>
      <c r="J156" s="5" t="s">
        <v>218</v>
      </c>
      <c r="K156" s="5" t="s">
        <v>219</v>
      </c>
      <c r="L156" s="5" t="s">
        <v>1038</v>
      </c>
      <c r="M156" s="5" t="s">
        <v>398</v>
      </c>
      <c r="N156" s="9">
        <v>42475</v>
      </c>
      <c r="O156" s="9"/>
      <c r="P156" s="10" t="s">
        <v>173</v>
      </c>
      <c r="Q156" s="5" t="s">
        <v>1135</v>
      </c>
      <c r="R156" s="5"/>
      <c r="S156" s="5"/>
      <c r="T156" s="16" t="str">
        <f>IF(F156="",E156,F156)</f>
        <v>SH7639</v>
      </c>
      <c r="U156" s="16" t="str">
        <f>H156&amp;I156</f>
        <v>龙旗巨星一号私募投资基金</v>
      </c>
      <c r="V156" s="17">
        <f>IF(O156="",N156,O156)</f>
        <v>42475</v>
      </c>
    </row>
    <row r="157" spans="1:22" ht="15" customHeight="1" x14ac:dyDescent="0.15">
      <c r="A157" s="5" t="s">
        <v>165</v>
      </c>
      <c r="B157" s="5" t="s">
        <v>204</v>
      </c>
      <c r="C157" s="5" t="s">
        <v>17</v>
      </c>
      <c r="D157" s="5" t="s">
        <v>10</v>
      </c>
      <c r="E157" s="5" t="s">
        <v>589</v>
      </c>
      <c r="F157" s="5"/>
      <c r="G157" s="5"/>
      <c r="H157" s="5" t="s">
        <v>388</v>
      </c>
      <c r="I157" s="5"/>
      <c r="J157" s="5" t="s">
        <v>1039</v>
      </c>
      <c r="K157" s="5" t="s">
        <v>1040</v>
      </c>
      <c r="L157" s="5" t="s">
        <v>1041</v>
      </c>
      <c r="M157" s="5" t="s">
        <v>87</v>
      </c>
      <c r="N157" s="9">
        <v>44701</v>
      </c>
      <c r="O157" s="9"/>
      <c r="P157" s="10" t="s">
        <v>173</v>
      </c>
      <c r="Q157" s="5" t="s">
        <v>1139</v>
      </c>
      <c r="R157" s="5"/>
      <c r="S157" s="5"/>
      <c r="T157" s="16" t="str">
        <f>IF(F157="",E157,F157)</f>
        <v>SVR172</v>
      </c>
      <c r="U157" s="16" t="str">
        <f>H157&amp;I157</f>
        <v>守正用奇龙珠1号私募证券投资基金</v>
      </c>
      <c r="V157" s="17">
        <f>IF(O157="",N157,O157)</f>
        <v>44701</v>
      </c>
    </row>
    <row r="158" spans="1:22" ht="15" customHeight="1" x14ac:dyDescent="0.15">
      <c r="A158" s="5" t="s">
        <v>165</v>
      </c>
      <c r="B158" s="5" t="s">
        <v>204</v>
      </c>
      <c r="C158" s="5" t="s">
        <v>17</v>
      </c>
      <c r="D158" s="5" t="s">
        <v>507</v>
      </c>
      <c r="E158" s="5" t="s">
        <v>223</v>
      </c>
      <c r="F158" s="5"/>
      <c r="G158" s="5"/>
      <c r="H158" s="5" t="s">
        <v>224</v>
      </c>
      <c r="I158" s="5"/>
      <c r="J158" s="5" t="s">
        <v>225</v>
      </c>
      <c r="K158" s="5" t="s">
        <v>226</v>
      </c>
      <c r="L158" s="5"/>
      <c r="M158" s="5" t="s">
        <v>215</v>
      </c>
      <c r="N158" s="9">
        <v>44813</v>
      </c>
      <c r="O158" s="9">
        <v>45657</v>
      </c>
      <c r="P158" s="10" t="s">
        <v>173</v>
      </c>
      <c r="Q158" s="5" t="s">
        <v>1139</v>
      </c>
      <c r="R158" s="5" t="s">
        <v>1211</v>
      </c>
      <c r="S158" s="5"/>
      <c r="T158" s="16" t="str">
        <f>IF(F158="",E158,F158)</f>
        <v>SXF921</v>
      </c>
      <c r="U158" s="16" t="str">
        <f>H158&amp;I158</f>
        <v>靖奇天弓二号私募证券投资基金</v>
      </c>
      <c r="V158" s="17">
        <f>IF(O158="",N158,O158)</f>
        <v>45657</v>
      </c>
    </row>
    <row r="159" spans="1:22" ht="15" customHeight="1" x14ac:dyDescent="0.15">
      <c r="A159" s="5" t="s">
        <v>165</v>
      </c>
      <c r="B159" s="5" t="s">
        <v>227</v>
      </c>
      <c r="C159" s="5" t="s">
        <v>9</v>
      </c>
      <c r="D159" s="5" t="s">
        <v>10</v>
      </c>
      <c r="E159" s="5" t="s">
        <v>595</v>
      </c>
      <c r="F159" s="5" t="s">
        <v>1160</v>
      </c>
      <c r="G159" s="5"/>
      <c r="H159" s="5" t="s">
        <v>1161</v>
      </c>
      <c r="I159" s="5" t="s">
        <v>809</v>
      </c>
      <c r="J159" s="5" t="s">
        <v>1047</v>
      </c>
      <c r="K159" s="5" t="s">
        <v>1048</v>
      </c>
      <c r="L159" s="5" t="s">
        <v>1049</v>
      </c>
      <c r="M159" s="5" t="s">
        <v>23</v>
      </c>
      <c r="N159" s="9">
        <v>45768</v>
      </c>
      <c r="O159" s="9">
        <v>45800</v>
      </c>
      <c r="P159" s="10" t="s">
        <v>173</v>
      </c>
      <c r="Q159" s="5" t="s">
        <v>1135</v>
      </c>
      <c r="R159" s="5" t="s">
        <v>1162</v>
      </c>
      <c r="S159" s="5"/>
      <c r="T159" s="16" t="str">
        <f>IF(F159="",E159,F159)</f>
        <v>AXP68C</v>
      </c>
      <c r="U159" s="16" t="str">
        <f>H159&amp;I159</f>
        <v>铸锋承影11号私募证券投资基金C类</v>
      </c>
      <c r="V159" s="17">
        <f>IF(O159="",N159,O159)</f>
        <v>45800</v>
      </c>
    </row>
    <row r="160" spans="1:22" ht="15" customHeight="1" x14ac:dyDescent="0.15">
      <c r="A160" s="5" t="s">
        <v>165</v>
      </c>
      <c r="B160" s="5" t="s">
        <v>227</v>
      </c>
      <c r="C160" s="5" t="s">
        <v>9</v>
      </c>
      <c r="D160" s="5" t="s">
        <v>10</v>
      </c>
      <c r="E160" s="5" t="s">
        <v>592</v>
      </c>
      <c r="F160" s="5" t="s">
        <v>713</v>
      </c>
      <c r="G160" s="5"/>
      <c r="H160" s="5" t="s">
        <v>848</v>
      </c>
      <c r="I160" s="5" t="s">
        <v>809</v>
      </c>
      <c r="J160" s="5" t="s">
        <v>912</v>
      </c>
      <c r="K160" s="5" t="s">
        <v>913</v>
      </c>
      <c r="L160" s="5" t="s">
        <v>1046</v>
      </c>
      <c r="M160" s="5" t="s">
        <v>398</v>
      </c>
      <c r="N160" s="9">
        <v>45877</v>
      </c>
      <c r="O160" s="9"/>
      <c r="P160" s="10" t="s">
        <v>173</v>
      </c>
      <c r="Q160" s="5" t="s">
        <v>1135</v>
      </c>
      <c r="R160" s="5"/>
      <c r="S160" s="5"/>
      <c r="T160" s="16" t="str">
        <f>IF(F160="",E160,F160)</f>
        <v>BDD33C</v>
      </c>
      <c r="U160" s="16" t="str">
        <f>H160&amp;I160</f>
        <v>绵烁强势股1号私募证券投资基金C类</v>
      </c>
      <c r="V160" s="17">
        <f>IF(O160="",N160,O160)</f>
        <v>45877</v>
      </c>
    </row>
    <row r="161" spans="1:22" ht="15" customHeight="1" x14ac:dyDescent="0.15">
      <c r="A161" s="5" t="s">
        <v>165</v>
      </c>
      <c r="B161" s="5" t="s">
        <v>227</v>
      </c>
      <c r="C161" s="5" t="s">
        <v>9</v>
      </c>
      <c r="D161" s="5" t="s">
        <v>10</v>
      </c>
      <c r="E161" s="5" t="s">
        <v>593</v>
      </c>
      <c r="F161" s="5" t="s">
        <v>714</v>
      </c>
      <c r="G161" s="5"/>
      <c r="H161" s="5" t="s">
        <v>849</v>
      </c>
      <c r="I161" s="5" t="s">
        <v>809</v>
      </c>
      <c r="J161" s="5" t="s">
        <v>912</v>
      </c>
      <c r="K161" s="5" t="s">
        <v>913</v>
      </c>
      <c r="L161" s="5" t="s">
        <v>1046</v>
      </c>
      <c r="M161" s="5" t="s">
        <v>398</v>
      </c>
      <c r="N161" s="9">
        <v>45877</v>
      </c>
      <c r="O161" s="9" t="s">
        <v>399</v>
      </c>
      <c r="P161" s="10"/>
      <c r="Q161" s="5" t="s">
        <v>1135</v>
      </c>
      <c r="R161" s="5"/>
      <c r="S161" s="5"/>
      <c r="T161" s="16" t="str">
        <f>IF(F161="",E161,F161)</f>
        <v>BDD35C</v>
      </c>
      <c r="U161" s="16" t="str">
        <f>H161&amp;I161</f>
        <v>绵烁强势股2号私募证券投资基金C类</v>
      </c>
      <c r="V161" s="17">
        <f>IF(O161="",N161,O161)</f>
        <v>45877</v>
      </c>
    </row>
    <row r="162" spans="1:22" ht="15" customHeight="1" x14ac:dyDescent="0.15">
      <c r="A162" s="5" t="s">
        <v>165</v>
      </c>
      <c r="B162" s="5" t="s">
        <v>227</v>
      </c>
      <c r="C162" s="5" t="s">
        <v>9</v>
      </c>
      <c r="D162" s="5" t="s">
        <v>506</v>
      </c>
      <c r="E162" s="5" t="s">
        <v>596</v>
      </c>
      <c r="F162" s="5" t="s">
        <v>717</v>
      </c>
      <c r="G162" s="5"/>
      <c r="H162" s="5" t="s">
        <v>853</v>
      </c>
      <c r="I162" s="5" t="s">
        <v>82</v>
      </c>
      <c r="J162" s="5" t="s">
        <v>1047</v>
      </c>
      <c r="K162" s="5" t="s">
        <v>1048</v>
      </c>
      <c r="L162" s="5" t="s">
        <v>1049</v>
      </c>
      <c r="M162" s="5" t="s">
        <v>398</v>
      </c>
      <c r="N162" s="9">
        <v>45951</v>
      </c>
      <c r="O162" s="9" t="s">
        <v>399</v>
      </c>
      <c r="P162" s="10"/>
      <c r="Q162" s="5" t="s">
        <v>1135</v>
      </c>
      <c r="R162" s="5"/>
      <c r="S162" s="5"/>
      <c r="T162" s="16" t="str">
        <f>IF(F162="",E162,F162)</f>
        <v>BHM78B</v>
      </c>
      <c r="U162" s="16" t="str">
        <f>H162&amp;I162</f>
        <v>铸锋承影13号私募证券投资基金B类</v>
      </c>
      <c r="V162" s="17">
        <f>IF(O162="",N162,O162)</f>
        <v>45951</v>
      </c>
    </row>
    <row r="163" spans="1:22" ht="15" customHeight="1" x14ac:dyDescent="0.15">
      <c r="A163" s="5" t="s">
        <v>165</v>
      </c>
      <c r="B163" s="5" t="s">
        <v>227</v>
      </c>
      <c r="C163" s="5" t="s">
        <v>9</v>
      </c>
      <c r="D163" s="5" t="s">
        <v>507</v>
      </c>
      <c r="E163" s="5" t="s">
        <v>235</v>
      </c>
      <c r="F163" s="5" t="s">
        <v>716</v>
      </c>
      <c r="G163" s="5"/>
      <c r="H163" s="5" t="s">
        <v>852</v>
      </c>
      <c r="I163" s="5" t="s">
        <v>47</v>
      </c>
      <c r="J163" s="5" t="s">
        <v>229</v>
      </c>
      <c r="K163" s="5" t="s">
        <v>230</v>
      </c>
      <c r="L163" s="5"/>
      <c r="M163" s="5" t="s">
        <v>87</v>
      </c>
      <c r="N163" s="9">
        <v>44138</v>
      </c>
      <c r="O163" s="9">
        <v>45708</v>
      </c>
      <c r="P163" s="10" t="s">
        <v>173</v>
      </c>
      <c r="Q163" s="5" t="s">
        <v>1139</v>
      </c>
      <c r="R163" s="5" t="s">
        <v>1173</v>
      </c>
      <c r="S163" s="5"/>
      <c r="T163" s="16" t="str">
        <f>IF(F163="",E163,F163)</f>
        <v>NB329A</v>
      </c>
      <c r="U163" s="16" t="str">
        <f>H163&amp;I163</f>
        <v>迎水绿洲11号私募证券投资基金A类</v>
      </c>
      <c r="V163" s="17">
        <f>IF(O163="",N163,O163)</f>
        <v>45708</v>
      </c>
    </row>
    <row r="164" spans="1:22" ht="15" customHeight="1" x14ac:dyDescent="0.15">
      <c r="A164" s="5" t="s">
        <v>165</v>
      </c>
      <c r="B164" s="5" t="s">
        <v>227</v>
      </c>
      <c r="C164" s="5" t="s">
        <v>17</v>
      </c>
      <c r="D164" s="5" t="s">
        <v>10</v>
      </c>
      <c r="E164" s="5" t="s">
        <v>594</v>
      </c>
      <c r="F164" s="5"/>
      <c r="G164" s="5"/>
      <c r="H164" s="5" t="s">
        <v>850</v>
      </c>
      <c r="I164" s="5"/>
      <c r="J164" s="5" t="s">
        <v>995</v>
      </c>
      <c r="K164" s="5" t="s">
        <v>996</v>
      </c>
      <c r="L164" s="5" t="s">
        <v>997</v>
      </c>
      <c r="M164" s="5" t="s">
        <v>23</v>
      </c>
      <c r="N164" s="9">
        <v>45240</v>
      </c>
      <c r="O164" s="9" t="s">
        <v>399</v>
      </c>
      <c r="P164" s="10"/>
      <c r="Q164" s="5" t="s">
        <v>1135</v>
      </c>
      <c r="R164" s="5" t="s">
        <v>399</v>
      </c>
      <c r="S164" s="5"/>
      <c r="T164" s="16" t="str">
        <f>IF(F164="",E164,F164)</f>
        <v>SXL726</v>
      </c>
      <c r="U164" s="16" t="str">
        <f>H164&amp;I164</f>
        <v>香农金玉满堂量化选股二号私募证券投资基金</v>
      </c>
      <c r="V164" s="17">
        <f>IF(O164="",N164,O164)</f>
        <v>45240</v>
      </c>
    </row>
    <row r="165" spans="1:22" ht="15" customHeight="1" x14ac:dyDescent="0.15">
      <c r="A165" s="5" t="s">
        <v>165</v>
      </c>
      <c r="B165" s="5" t="s">
        <v>227</v>
      </c>
      <c r="C165" s="5" t="s">
        <v>9</v>
      </c>
      <c r="D165" s="5" t="s">
        <v>507</v>
      </c>
      <c r="E165" s="5" t="s">
        <v>228</v>
      </c>
      <c r="F165" s="5" t="s">
        <v>715</v>
      </c>
      <c r="G165" s="5"/>
      <c r="H165" s="5" t="s">
        <v>851</v>
      </c>
      <c r="I165" s="5" t="s">
        <v>47</v>
      </c>
      <c r="J165" s="5" t="s">
        <v>229</v>
      </c>
      <c r="K165" s="5" t="s">
        <v>230</v>
      </c>
      <c r="L165" s="5"/>
      <c r="M165" s="5" t="s">
        <v>398</v>
      </c>
      <c r="N165" s="9">
        <v>42956</v>
      </c>
      <c r="O165" s="9">
        <v>45504</v>
      </c>
      <c r="P165" s="10" t="s">
        <v>173</v>
      </c>
      <c r="Q165" s="5" t="s">
        <v>1139</v>
      </c>
      <c r="R165" s="5" t="s">
        <v>1225</v>
      </c>
      <c r="S165" s="5"/>
      <c r="T165" s="16" t="str">
        <f>IF(F165="",E165,F165)</f>
        <v>W8083A</v>
      </c>
      <c r="U165" s="16" t="str">
        <f>H165&amp;I165</f>
        <v>迎水龙凤呈祥4号私募证券投资基金A类</v>
      </c>
      <c r="V165" s="17">
        <f>IF(O165="",N165,O165)</f>
        <v>45504</v>
      </c>
    </row>
    <row r="166" spans="1:22" ht="15" customHeight="1" x14ac:dyDescent="0.15">
      <c r="A166" s="5" t="s">
        <v>165</v>
      </c>
      <c r="B166" s="5" t="s">
        <v>166</v>
      </c>
      <c r="C166" s="5" t="s">
        <v>17</v>
      </c>
      <c r="D166" s="5" t="s">
        <v>506</v>
      </c>
      <c r="E166" s="5" t="s">
        <v>363</v>
      </c>
      <c r="F166" s="5" t="s">
        <v>719</v>
      </c>
      <c r="G166" s="5"/>
      <c r="H166" s="5" t="s">
        <v>854</v>
      </c>
      <c r="I166" s="5" t="s">
        <v>47</v>
      </c>
      <c r="J166" s="5" t="s">
        <v>366</v>
      </c>
      <c r="K166" s="5" t="s">
        <v>365</v>
      </c>
      <c r="L166" s="5" t="s">
        <v>1051</v>
      </c>
      <c r="M166" s="5" t="s">
        <v>398</v>
      </c>
      <c r="N166" s="9">
        <v>45754</v>
      </c>
      <c r="O166" s="9"/>
      <c r="P166" s="10" t="s">
        <v>173</v>
      </c>
      <c r="Q166" s="5" t="s">
        <v>1135</v>
      </c>
      <c r="R166" s="5"/>
      <c r="S166" s="5"/>
      <c r="T166" s="16" t="str">
        <f>IF(F166="",E166,F166)</f>
        <v>AWF35A</v>
      </c>
      <c r="U166" s="16" t="str">
        <f>H166&amp;I166</f>
        <v>翰荣安晟进取二号私募证券投资基金A类</v>
      </c>
      <c r="V166" s="17">
        <f>IF(O166="",N166,O166)</f>
        <v>45754</v>
      </c>
    </row>
    <row r="167" spans="1:22" ht="15" customHeight="1" x14ac:dyDescent="0.15">
      <c r="A167" s="5" t="s">
        <v>165</v>
      </c>
      <c r="B167" s="5" t="s">
        <v>166</v>
      </c>
      <c r="C167" s="5" t="s">
        <v>17</v>
      </c>
      <c r="D167" s="5" t="s">
        <v>10</v>
      </c>
      <c r="E167" s="5" t="s">
        <v>1305</v>
      </c>
      <c r="F167" s="5" t="s">
        <v>1306</v>
      </c>
      <c r="G167" s="5"/>
      <c r="H167" s="5" t="s">
        <v>1307</v>
      </c>
      <c r="I167" s="5" t="s">
        <v>82</v>
      </c>
      <c r="J167" s="5" t="s">
        <v>1308</v>
      </c>
      <c r="K167" s="5" t="s">
        <v>1309</v>
      </c>
      <c r="L167" s="5" t="s">
        <v>1310</v>
      </c>
      <c r="M167" s="5" t="s">
        <v>87</v>
      </c>
      <c r="N167" s="9">
        <v>45769</v>
      </c>
      <c r="O167" s="9">
        <v>45877</v>
      </c>
      <c r="P167" s="10"/>
      <c r="Q167" s="5"/>
      <c r="R167" s="5"/>
      <c r="S167" s="5"/>
      <c r="T167" s="16" t="str">
        <f>IF(F167="",E167,F167)</f>
        <v>AXN65B</v>
      </c>
      <c r="U167" s="16" t="str">
        <f>H167&amp;I167</f>
        <v>远和可旺1号私募证券投资基金B类</v>
      </c>
      <c r="V167" s="17">
        <f>IF(O167="",N167,O167)</f>
        <v>45877</v>
      </c>
    </row>
    <row r="168" spans="1:22" ht="15" customHeight="1" x14ac:dyDescent="0.15">
      <c r="A168" s="5" t="s">
        <v>165</v>
      </c>
      <c r="B168" s="5" t="s">
        <v>166</v>
      </c>
      <c r="C168" s="5" t="s">
        <v>9</v>
      </c>
      <c r="D168" s="5" t="s">
        <v>10</v>
      </c>
      <c r="E168" s="5" t="s">
        <v>604</v>
      </c>
      <c r="F168" s="5" t="s">
        <v>725</v>
      </c>
      <c r="G168" s="5"/>
      <c r="H168" s="5" t="s">
        <v>862</v>
      </c>
      <c r="I168" s="5" t="s">
        <v>82</v>
      </c>
      <c r="J168" s="5" t="s">
        <v>1000</v>
      </c>
      <c r="K168" s="5" t="s">
        <v>1001</v>
      </c>
      <c r="L168" s="5" t="s">
        <v>1002</v>
      </c>
      <c r="M168" s="5" t="s">
        <v>398</v>
      </c>
      <c r="N168" s="9">
        <v>45792</v>
      </c>
      <c r="O168" s="9"/>
      <c r="P168" s="10" t="s">
        <v>173</v>
      </c>
      <c r="Q168" s="5" t="s">
        <v>1135</v>
      </c>
      <c r="R168" s="5"/>
      <c r="S168" s="5"/>
      <c r="T168" s="16" t="str">
        <f>IF(F168="",E168,F168)</f>
        <v>AYP48B</v>
      </c>
      <c r="U168" s="16" t="str">
        <f>H168&amp;I168</f>
        <v>亦赋量选1号私募证券投资基金B类</v>
      </c>
      <c r="V168" s="17">
        <f>IF(O168="",N168,O168)</f>
        <v>45792</v>
      </c>
    </row>
    <row r="169" spans="1:22" ht="15" customHeight="1" x14ac:dyDescent="0.15">
      <c r="A169" s="5" t="s">
        <v>165</v>
      </c>
      <c r="B169" s="5" t="s">
        <v>166</v>
      </c>
      <c r="C169" s="5" t="s">
        <v>27</v>
      </c>
      <c r="D169" s="5" t="s">
        <v>506</v>
      </c>
      <c r="E169" s="5" t="s">
        <v>1300</v>
      </c>
      <c r="F169" s="5" t="s">
        <v>1301</v>
      </c>
      <c r="G169" s="5"/>
      <c r="H169" s="5" t="s">
        <v>1302</v>
      </c>
      <c r="I169" s="5" t="s">
        <v>82</v>
      </c>
      <c r="J169" s="5" t="s">
        <v>1303</v>
      </c>
      <c r="K169" s="5" t="s">
        <v>1304</v>
      </c>
      <c r="L169" s="5"/>
      <c r="M169" s="5" t="s">
        <v>78</v>
      </c>
      <c r="N169" s="9">
        <v>45154</v>
      </c>
      <c r="O169" s="9">
        <v>45156</v>
      </c>
      <c r="P169" s="10"/>
      <c r="Q169" s="5"/>
      <c r="R169" s="5"/>
      <c r="S169" s="5"/>
      <c r="T169" s="16" t="str">
        <f>IF(F169="",E169,F169)</f>
        <v>B0586B</v>
      </c>
      <c r="U169" s="16" t="str">
        <f>H169&amp;I169</f>
        <v>世纪前沿广胜量化优选2号a期私募证券投资基金B类</v>
      </c>
      <c r="V169" s="17">
        <f>IF(O169="",N169,O169)</f>
        <v>45156</v>
      </c>
    </row>
    <row r="170" spans="1:22" ht="15" customHeight="1" x14ac:dyDescent="0.15">
      <c r="A170" s="5" t="s">
        <v>165</v>
      </c>
      <c r="B170" s="5" t="s">
        <v>166</v>
      </c>
      <c r="C170" s="5" t="s">
        <v>17</v>
      </c>
      <c r="D170" s="5" t="s">
        <v>506</v>
      </c>
      <c r="E170" s="5" t="s">
        <v>600</v>
      </c>
      <c r="F170" s="5" t="s">
        <v>720</v>
      </c>
      <c r="G170" s="5"/>
      <c r="H170" s="5" t="s">
        <v>857</v>
      </c>
      <c r="I170" s="5" t="s">
        <v>82</v>
      </c>
      <c r="J170" s="5" t="s">
        <v>1054</v>
      </c>
      <c r="K170" s="5" t="s">
        <v>1055</v>
      </c>
      <c r="L170" s="5" t="s">
        <v>1056</v>
      </c>
      <c r="M170" s="5" t="s">
        <v>87</v>
      </c>
      <c r="N170" s="9">
        <v>45159</v>
      </c>
      <c r="O170" s="9">
        <v>45247</v>
      </c>
      <c r="P170" s="10"/>
      <c r="Q170" s="5" t="s">
        <v>1139</v>
      </c>
      <c r="R170" s="5" t="s">
        <v>428</v>
      </c>
      <c r="S170" s="5"/>
      <c r="T170" s="16" t="str">
        <f>IF(F170="",E170,F170)</f>
        <v>B4735B</v>
      </c>
      <c r="U170" s="16" t="str">
        <f>H170&amp;I170</f>
        <v>明汯股票精选41期私募证券投资基金B类</v>
      </c>
      <c r="V170" s="17">
        <f>IF(O170="",N170,O170)</f>
        <v>45247</v>
      </c>
    </row>
    <row r="171" spans="1:22" ht="15" customHeight="1" x14ac:dyDescent="0.15">
      <c r="A171" s="5" t="s">
        <v>165</v>
      </c>
      <c r="B171" s="5" t="s">
        <v>166</v>
      </c>
      <c r="C171" s="5" t="s">
        <v>17</v>
      </c>
      <c r="D171" s="5" t="s">
        <v>10</v>
      </c>
      <c r="E171" s="5" t="s">
        <v>603</v>
      </c>
      <c r="F171" s="5" t="s">
        <v>724</v>
      </c>
      <c r="G171" s="5"/>
      <c r="H171" s="5" t="s">
        <v>861</v>
      </c>
      <c r="I171" s="5" t="s">
        <v>82</v>
      </c>
      <c r="J171" s="5" t="s">
        <v>1058</v>
      </c>
      <c r="K171" s="5" t="s">
        <v>1059</v>
      </c>
      <c r="L171" s="5" t="s">
        <v>1060</v>
      </c>
      <c r="M171" s="5" t="s">
        <v>398</v>
      </c>
      <c r="N171" s="9">
        <v>45922</v>
      </c>
      <c r="O171" s="9"/>
      <c r="P171" s="10" t="s">
        <v>173</v>
      </c>
      <c r="Q171" s="5" t="s">
        <v>1139</v>
      </c>
      <c r="R171" s="5"/>
      <c r="S171" s="5"/>
      <c r="T171" s="16" t="str">
        <f>IF(F171="",E171,F171)</f>
        <v>BFU80B</v>
      </c>
      <c r="U171" s="16" t="str">
        <f>H171&amp;I171</f>
        <v>橡红启航1号私募证券投资基金B类</v>
      </c>
      <c r="V171" s="17">
        <f>IF(O171="",N171,O171)</f>
        <v>45922</v>
      </c>
    </row>
    <row r="172" spans="1:22" ht="15" customHeight="1" x14ac:dyDescent="0.15">
      <c r="A172" s="5" t="s">
        <v>165</v>
      </c>
      <c r="B172" s="5" t="s">
        <v>166</v>
      </c>
      <c r="C172" s="5" t="s">
        <v>27</v>
      </c>
      <c r="D172" s="5" t="s">
        <v>10</v>
      </c>
      <c r="E172" s="5" t="s">
        <v>602</v>
      </c>
      <c r="F172" s="5" t="s">
        <v>721</v>
      </c>
      <c r="G172" s="5"/>
      <c r="H172" s="5" t="s">
        <v>859</v>
      </c>
      <c r="I172" s="5" t="s">
        <v>817</v>
      </c>
      <c r="J172" s="5" t="s">
        <v>989</v>
      </c>
      <c r="K172" s="5" t="s">
        <v>990</v>
      </c>
      <c r="L172" s="5" t="s">
        <v>991</v>
      </c>
      <c r="M172" s="5" t="s">
        <v>398</v>
      </c>
      <c r="N172" s="9">
        <v>45978</v>
      </c>
      <c r="O172" s="9" t="s">
        <v>399</v>
      </c>
      <c r="P172" s="10"/>
      <c r="Q172" s="5" t="s">
        <v>1139</v>
      </c>
      <c r="R172" s="5"/>
      <c r="S172" s="5"/>
      <c r="T172" s="16" t="str">
        <f>IF(F172="",E172,F172)</f>
        <v>BKK08D</v>
      </c>
      <c r="U172" s="16" t="str">
        <f>H172&amp;I172</f>
        <v>柔微量化选股1号私募证券投资基金D类</v>
      </c>
      <c r="V172" s="17">
        <f>IF(O172="",N172,O172)</f>
        <v>45978</v>
      </c>
    </row>
    <row r="173" spans="1:22" ht="15" customHeight="1" x14ac:dyDescent="0.15">
      <c r="A173" s="5" t="s">
        <v>165</v>
      </c>
      <c r="B173" s="5" t="s">
        <v>166</v>
      </c>
      <c r="C173" s="5" t="s">
        <v>27</v>
      </c>
      <c r="D173" s="5" t="s">
        <v>10</v>
      </c>
      <c r="E173" s="5" t="s">
        <v>1165</v>
      </c>
      <c r="F173" s="5" t="s">
        <v>1164</v>
      </c>
      <c r="G173" s="5"/>
      <c r="H173" s="5" t="s">
        <v>1163</v>
      </c>
      <c r="I173" s="5" t="s">
        <v>82</v>
      </c>
      <c r="J173" s="5" t="s">
        <v>1058</v>
      </c>
      <c r="K173" s="5" t="s">
        <v>1059</v>
      </c>
      <c r="L173" s="5" t="s">
        <v>1060</v>
      </c>
      <c r="M173" s="5" t="s">
        <v>23</v>
      </c>
      <c r="N173" s="9">
        <v>46020</v>
      </c>
      <c r="O173" s="9">
        <v>46045</v>
      </c>
      <c r="P173" s="10"/>
      <c r="Q173" s="5" t="s">
        <v>1139</v>
      </c>
      <c r="R173" s="5"/>
      <c r="S173" s="5"/>
      <c r="T173" s="16" t="str">
        <f>IF(F173="",E173,F173)</f>
        <v>BKP40B</v>
      </c>
      <c r="U173" s="16" t="str">
        <f>H173&amp;I173</f>
        <v>橡红瀚行1号私募证券投资基金B类</v>
      </c>
      <c r="V173" s="17">
        <f>IF(O173="",N173,O173)</f>
        <v>46045</v>
      </c>
    </row>
    <row r="174" spans="1:22" ht="15" customHeight="1" x14ac:dyDescent="0.15">
      <c r="A174" s="5" t="s">
        <v>165</v>
      </c>
      <c r="B174" s="5" t="s">
        <v>166</v>
      </c>
      <c r="C174" s="5" t="s">
        <v>9</v>
      </c>
      <c r="D174" s="5" t="s">
        <v>506</v>
      </c>
      <c r="E174" s="5" t="s">
        <v>605</v>
      </c>
      <c r="F174" s="5"/>
      <c r="G174" s="5"/>
      <c r="H174" s="5" t="s">
        <v>1185</v>
      </c>
      <c r="I174" s="5"/>
      <c r="J174" s="5" t="s">
        <v>1000</v>
      </c>
      <c r="K174" s="5" t="s">
        <v>1001</v>
      </c>
      <c r="L174" s="5" t="s">
        <v>1002</v>
      </c>
      <c r="M174" s="5" t="s">
        <v>78</v>
      </c>
      <c r="N174" s="9">
        <v>45887</v>
      </c>
      <c r="O174" s="9">
        <v>45898</v>
      </c>
      <c r="P174" s="10"/>
      <c r="Q174" s="5" t="s">
        <v>1139</v>
      </c>
      <c r="R174" s="5" t="s">
        <v>1184</v>
      </c>
      <c r="S174" s="5"/>
      <c r="T174" s="16" t="str">
        <f>IF(F174="",E174,F174)</f>
        <v>SBDX49</v>
      </c>
      <c r="U174" s="16" t="str">
        <f>H174&amp;I174</f>
        <v>亦赋量选2号私募证券投资基金</v>
      </c>
      <c r="V174" s="17">
        <f>IF(O174="",N174,O174)</f>
        <v>45898</v>
      </c>
    </row>
    <row r="175" spans="1:22" ht="15" customHeight="1" x14ac:dyDescent="0.15">
      <c r="A175" s="5" t="s">
        <v>165</v>
      </c>
      <c r="B175" s="5" t="s">
        <v>166</v>
      </c>
      <c r="C175" s="5" t="s">
        <v>17</v>
      </c>
      <c r="D175" s="5" t="s">
        <v>506</v>
      </c>
      <c r="E175" s="5" t="s">
        <v>1293</v>
      </c>
      <c r="F175" s="5"/>
      <c r="G175" s="5"/>
      <c r="H175" s="5" t="s">
        <v>1294</v>
      </c>
      <c r="I175" s="5"/>
      <c r="J175" s="5" t="s">
        <v>1014</v>
      </c>
      <c r="K175" s="5" t="s">
        <v>1015</v>
      </c>
      <c r="L175" s="5"/>
      <c r="M175" s="5" t="s">
        <v>23</v>
      </c>
      <c r="N175" s="9">
        <v>46006</v>
      </c>
      <c r="O175" s="9">
        <v>46010</v>
      </c>
      <c r="P175" s="10"/>
      <c r="Q175" s="5"/>
      <c r="R175" s="5"/>
      <c r="S175" s="5"/>
      <c r="T175" s="16" t="str">
        <f>IF(F175="",E175,F175)</f>
        <v>SBLB67</v>
      </c>
      <c r="U175" s="16" t="str">
        <f>H175&amp;I175</f>
        <v>顽岩量化选股专享9号私募证券投资基金</v>
      </c>
      <c r="V175" s="17">
        <f>IF(O175="",N175,O175)</f>
        <v>46010</v>
      </c>
    </row>
    <row r="176" spans="1:22" ht="15" customHeight="1" x14ac:dyDescent="0.15">
      <c r="A176" s="5" t="s">
        <v>165</v>
      </c>
      <c r="B176" s="5" t="s">
        <v>166</v>
      </c>
      <c r="C176" s="5" t="s">
        <v>17</v>
      </c>
      <c r="D176" s="5" t="s">
        <v>10</v>
      </c>
      <c r="E176" s="5" t="s">
        <v>208</v>
      </c>
      <c r="F176" s="5"/>
      <c r="G176" s="5"/>
      <c r="H176" s="5" t="s">
        <v>209</v>
      </c>
      <c r="I176" s="5"/>
      <c r="J176" s="5" t="s">
        <v>210</v>
      </c>
      <c r="K176" s="5" t="s">
        <v>211</v>
      </c>
      <c r="L176" s="5" t="s">
        <v>1053</v>
      </c>
      <c r="M176" s="5" t="s">
        <v>398</v>
      </c>
      <c r="N176" s="9">
        <v>44708</v>
      </c>
      <c r="O176" s="9"/>
      <c r="P176" s="10" t="s">
        <v>173</v>
      </c>
      <c r="Q176" s="5" t="s">
        <v>1135</v>
      </c>
      <c r="R176" s="5"/>
      <c r="S176" s="5"/>
      <c r="T176" s="16" t="str">
        <f>IF(F176="",E176,F176)</f>
        <v>SGF562</v>
      </c>
      <c r="U176" s="16" t="str">
        <f>H176&amp;I176</f>
        <v>汇瑾安晟嘉平私募证券投资基金</v>
      </c>
      <c r="V176" s="17">
        <f>IF(O176="",N176,O176)</f>
        <v>44708</v>
      </c>
    </row>
    <row r="177" spans="1:22" ht="15" customHeight="1" x14ac:dyDescent="0.15">
      <c r="A177" s="5" t="s">
        <v>165</v>
      </c>
      <c r="B177" s="5" t="s">
        <v>166</v>
      </c>
      <c r="C177" s="5" t="s">
        <v>9</v>
      </c>
      <c r="D177" s="5" t="s">
        <v>506</v>
      </c>
      <c r="E177" s="5" t="s">
        <v>599</v>
      </c>
      <c r="F177" s="5"/>
      <c r="G177" s="5"/>
      <c r="H177" s="5" t="s">
        <v>856</v>
      </c>
      <c r="I177" s="5"/>
      <c r="J177" s="5" t="s">
        <v>213</v>
      </c>
      <c r="K177" s="5" t="s">
        <v>214</v>
      </c>
      <c r="L177" s="5" t="s">
        <v>952</v>
      </c>
      <c r="M177" s="5" t="s">
        <v>215</v>
      </c>
      <c r="N177" s="9">
        <v>43640</v>
      </c>
      <c r="O177" s="9">
        <v>45750</v>
      </c>
      <c r="P177" s="10"/>
      <c r="Q177" s="5" t="s">
        <v>1139</v>
      </c>
      <c r="R177" s="5" t="s">
        <v>423</v>
      </c>
      <c r="S177" s="5"/>
      <c r="T177" s="16" t="str">
        <f>IF(F177="",E177,F177)</f>
        <v>SGT399</v>
      </c>
      <c r="U177" s="16" t="str">
        <f>H177&amp;I177</f>
        <v>宽德飞虹43号私募证券投资基金</v>
      </c>
      <c r="V177" s="17">
        <f>IF(O177="",N177,O177)</f>
        <v>45750</v>
      </c>
    </row>
    <row r="178" spans="1:22" ht="15" customHeight="1" x14ac:dyDescent="0.15">
      <c r="A178" s="5" t="s">
        <v>165</v>
      </c>
      <c r="B178" s="5" t="s">
        <v>166</v>
      </c>
      <c r="C178" s="5" t="s">
        <v>27</v>
      </c>
      <c r="D178" s="5" t="s">
        <v>506</v>
      </c>
      <c r="E178" s="5" t="s">
        <v>167</v>
      </c>
      <c r="F178" s="5"/>
      <c r="G178" s="5" t="s">
        <v>168</v>
      </c>
      <c r="H178" s="5" t="s">
        <v>169</v>
      </c>
      <c r="I178" s="5"/>
      <c r="J178" s="5" t="s">
        <v>170</v>
      </c>
      <c r="K178" s="5" t="s">
        <v>171</v>
      </c>
      <c r="L178" s="5" t="s">
        <v>172</v>
      </c>
      <c r="M178" s="5" t="s">
        <v>23</v>
      </c>
      <c r="N178" s="9">
        <v>44467</v>
      </c>
      <c r="O178" s="9"/>
      <c r="P178" s="10" t="s">
        <v>173</v>
      </c>
      <c r="Q178" s="5" t="s">
        <v>25</v>
      </c>
      <c r="R178" s="5"/>
      <c r="S178" s="5"/>
      <c r="T178" s="16" t="str">
        <f>IF(F178="",E178,F178)</f>
        <v>SSU836</v>
      </c>
      <c r="U178" s="16" t="str">
        <f>H178&amp;I178</f>
        <v>宏桥合兴量化一号私募证券投资基金</v>
      </c>
      <c r="V178" s="17">
        <f>IF(O178="",N178,O178)</f>
        <v>44467</v>
      </c>
    </row>
    <row r="179" spans="1:22" ht="15" customHeight="1" x14ac:dyDescent="0.15">
      <c r="A179" s="5" t="s">
        <v>165</v>
      </c>
      <c r="B179" s="5" t="s">
        <v>166</v>
      </c>
      <c r="C179" s="5" t="s">
        <v>17</v>
      </c>
      <c r="D179" s="5" t="s">
        <v>10</v>
      </c>
      <c r="E179" s="5" t="s">
        <v>598</v>
      </c>
      <c r="F179" s="5"/>
      <c r="G179" s="5"/>
      <c r="H179" s="5" t="s">
        <v>855</v>
      </c>
      <c r="I179" s="5"/>
      <c r="J179" s="5" t="s">
        <v>366</v>
      </c>
      <c r="K179" s="5" t="s">
        <v>365</v>
      </c>
      <c r="L179" s="5" t="s">
        <v>1052</v>
      </c>
      <c r="M179" s="5" t="s">
        <v>23</v>
      </c>
      <c r="N179" s="9">
        <v>44575</v>
      </c>
      <c r="O179" s="9" t="s">
        <v>399</v>
      </c>
      <c r="P179" s="10"/>
      <c r="Q179" s="5" t="s">
        <v>1135</v>
      </c>
      <c r="R179" s="5"/>
      <c r="S179" s="5"/>
      <c r="T179" s="16" t="str">
        <f>IF(F179="",E179,F179)</f>
        <v>STP493</v>
      </c>
      <c r="U179" s="16" t="str">
        <f>H179&amp;I179</f>
        <v>翰荣狮子量化精选一号私募证券投资基金</v>
      </c>
      <c r="V179" s="17">
        <f>IF(O179="",N179,O179)</f>
        <v>44575</v>
      </c>
    </row>
    <row r="180" spans="1:22" ht="15" customHeight="1" x14ac:dyDescent="0.15">
      <c r="A180" s="5" t="s">
        <v>165</v>
      </c>
      <c r="B180" s="5" t="s">
        <v>166</v>
      </c>
      <c r="C180" s="5" t="s">
        <v>17</v>
      </c>
      <c r="D180" s="5" t="s">
        <v>10</v>
      </c>
      <c r="E180" s="5" t="s">
        <v>601</v>
      </c>
      <c r="F180" s="5"/>
      <c r="G180" s="5"/>
      <c r="H180" s="5" t="s">
        <v>858</v>
      </c>
      <c r="I180" s="5"/>
      <c r="J180" s="5" t="s">
        <v>950</v>
      </c>
      <c r="K180" s="5" t="s">
        <v>951</v>
      </c>
      <c r="L180" s="5" t="s">
        <v>406</v>
      </c>
      <c r="M180" s="5" t="s">
        <v>400</v>
      </c>
      <c r="N180" s="9">
        <v>43096</v>
      </c>
      <c r="O180" s="9" t="s">
        <v>399</v>
      </c>
      <c r="P180" s="10" t="s">
        <v>173</v>
      </c>
      <c r="Q180" s="5" t="s">
        <v>1139</v>
      </c>
      <c r="R180" s="5" t="s">
        <v>399</v>
      </c>
      <c r="S180" s="5"/>
      <c r="T180" s="16" t="str">
        <f>IF(F180="",E180,F180)</f>
        <v>SY7087</v>
      </c>
      <c r="U180" s="16" t="str">
        <f>H180&amp;I180</f>
        <v>平方和量化精选1号私募基金</v>
      </c>
      <c r="V180" s="17">
        <f>IF(O180="",N180,O180)</f>
        <v>43096</v>
      </c>
    </row>
    <row r="181" spans="1:22" ht="15" customHeight="1" x14ac:dyDescent="0.15">
      <c r="A181" s="5" t="s">
        <v>165</v>
      </c>
      <c r="B181" s="5" t="s">
        <v>166</v>
      </c>
      <c r="C181" s="5" t="s">
        <v>17</v>
      </c>
      <c r="D181" s="5" t="s">
        <v>10</v>
      </c>
      <c r="E181" s="5" t="s">
        <v>597</v>
      </c>
      <c r="F181" s="5" t="s">
        <v>718</v>
      </c>
      <c r="G181" s="5"/>
      <c r="H181" s="5" t="s">
        <v>1221</v>
      </c>
      <c r="I181" s="5" t="s">
        <v>82</v>
      </c>
      <c r="J181" s="5" t="s">
        <v>961</v>
      </c>
      <c r="K181" s="5" t="s">
        <v>962</v>
      </c>
      <c r="L181" s="5" t="s">
        <v>1050</v>
      </c>
      <c r="M181" s="5" t="s">
        <v>23</v>
      </c>
      <c r="N181" s="9">
        <v>44613</v>
      </c>
      <c r="O181" s="9"/>
      <c r="P181" s="10" t="s">
        <v>173</v>
      </c>
      <c r="Q181" s="5" t="s">
        <v>1139</v>
      </c>
      <c r="R181" s="5"/>
      <c r="S181" s="5"/>
      <c r="T181" s="16" t="str">
        <f>IF(F181="",E181,F181)</f>
        <v>VB591B</v>
      </c>
      <c r="U181" s="16" t="str">
        <f>H181&amp;I181</f>
        <v>半鞅量化精选私募证券投资基金B类</v>
      </c>
      <c r="V181" s="17">
        <f>IF(O181="",N181,O181)</f>
        <v>44613</v>
      </c>
    </row>
    <row r="182" spans="1:22" ht="15" customHeight="1" x14ac:dyDescent="0.15">
      <c r="A182" s="5" t="s">
        <v>165</v>
      </c>
      <c r="B182" s="5" t="s">
        <v>166</v>
      </c>
      <c r="C182" s="5" t="s">
        <v>9</v>
      </c>
      <c r="D182" s="5" t="s">
        <v>10</v>
      </c>
      <c r="E182" s="5" t="s">
        <v>236</v>
      </c>
      <c r="F182" s="5" t="s">
        <v>723</v>
      </c>
      <c r="G182" s="5"/>
      <c r="H182" s="5" t="s">
        <v>860</v>
      </c>
      <c r="I182" s="5" t="s">
        <v>82</v>
      </c>
      <c r="J182" s="5" t="s">
        <v>213</v>
      </c>
      <c r="K182" s="5" t="s">
        <v>214</v>
      </c>
      <c r="L182" s="5" t="s">
        <v>952</v>
      </c>
      <c r="M182" s="5" t="s">
        <v>237</v>
      </c>
      <c r="N182" s="9">
        <v>44614</v>
      </c>
      <c r="O182" s="9">
        <v>45625</v>
      </c>
      <c r="P182" s="10" t="s">
        <v>173</v>
      </c>
      <c r="Q182" s="5" t="s">
        <v>1139</v>
      </c>
      <c r="R182" s="5" t="s">
        <v>1222</v>
      </c>
      <c r="S182" s="5"/>
      <c r="T182" s="16" t="str">
        <f>IF(F182="",E182,F182)</f>
        <v>VC232B</v>
      </c>
      <c r="U182" s="16" t="str">
        <f>H182&amp;I182</f>
        <v>上海宽德宽睿私募证券投资基金B类</v>
      </c>
      <c r="V182" s="17">
        <f>IF(O182="",N182,O182)</f>
        <v>45625</v>
      </c>
    </row>
    <row r="183" spans="1:22" ht="15" customHeight="1" x14ac:dyDescent="0.15">
      <c r="A183" s="5" t="s">
        <v>165</v>
      </c>
      <c r="B183" s="5" t="s">
        <v>166</v>
      </c>
      <c r="C183" s="5" t="s">
        <v>9</v>
      </c>
      <c r="D183" s="5" t="s">
        <v>506</v>
      </c>
      <c r="E183" s="5" t="s">
        <v>238</v>
      </c>
      <c r="F183" s="5" t="s">
        <v>722</v>
      </c>
      <c r="G183" s="5"/>
      <c r="H183" s="5" t="s">
        <v>1226</v>
      </c>
      <c r="I183" s="5" t="s">
        <v>47</v>
      </c>
      <c r="J183" s="5" t="s">
        <v>213</v>
      </c>
      <c r="K183" s="5" t="s">
        <v>214</v>
      </c>
      <c r="L183" s="5" t="s">
        <v>1057</v>
      </c>
      <c r="M183" s="5" t="s">
        <v>398</v>
      </c>
      <c r="N183" s="9">
        <v>44782</v>
      </c>
      <c r="O183" s="9">
        <v>44939</v>
      </c>
      <c r="P183" s="10" t="s">
        <v>173</v>
      </c>
      <c r="Q183" s="5" t="s">
        <v>1135</v>
      </c>
      <c r="R183" s="5" t="s">
        <v>1227</v>
      </c>
      <c r="S183" s="5"/>
      <c r="T183" s="16" t="str">
        <f>IF(F183="",E183,F183)</f>
        <v>XA783A</v>
      </c>
      <c r="U183" s="16" t="str">
        <f>H183&amp;I183</f>
        <v>上海宽德飞虹5号私募证券投资基金A类</v>
      </c>
      <c r="V183" s="17">
        <f>IF(O183="",N183,O183)</f>
        <v>44939</v>
      </c>
    </row>
    <row r="184" spans="1:22" ht="15" customHeight="1" x14ac:dyDescent="0.15">
      <c r="A184" s="5" t="s">
        <v>165</v>
      </c>
      <c r="B184" s="5" t="s">
        <v>466</v>
      </c>
      <c r="C184" s="5" t="s">
        <v>17</v>
      </c>
      <c r="D184" s="5" t="s">
        <v>10</v>
      </c>
      <c r="E184" s="5" t="s">
        <v>568</v>
      </c>
      <c r="F184" s="5" t="s">
        <v>698</v>
      </c>
      <c r="G184" s="5"/>
      <c r="H184" s="5" t="s">
        <v>824</v>
      </c>
      <c r="I184" s="5" t="s">
        <v>82</v>
      </c>
      <c r="J184" s="5" t="s">
        <v>1010</v>
      </c>
      <c r="K184" s="5" t="s">
        <v>1011</v>
      </c>
      <c r="L184" s="5" t="s">
        <v>1012</v>
      </c>
      <c r="M184" s="5" t="s">
        <v>1013</v>
      </c>
      <c r="N184" s="9">
        <v>45888</v>
      </c>
      <c r="O184" s="9"/>
      <c r="P184" s="10" t="s">
        <v>203</v>
      </c>
      <c r="Q184" s="5" t="s">
        <v>1139</v>
      </c>
      <c r="R184" s="5"/>
      <c r="S184" s="5"/>
      <c r="T184" s="16" t="str">
        <f>IF(F184="",E184,F184)</f>
        <v>BDK61B</v>
      </c>
      <c r="U184" s="16" t="str">
        <f>H184&amp;I184</f>
        <v>数法天枢量化优选私募证券投资基金B类</v>
      </c>
      <c r="V184" s="17">
        <f>IF(O184="",N184,O184)</f>
        <v>45888</v>
      </c>
    </row>
    <row r="185" spans="1:22" ht="15" customHeight="1" x14ac:dyDescent="0.15">
      <c r="A185" s="5" t="s">
        <v>165</v>
      </c>
      <c r="B185" s="5" t="s">
        <v>470</v>
      </c>
      <c r="C185" s="5" t="s">
        <v>27</v>
      </c>
      <c r="D185" s="5" t="s">
        <v>506</v>
      </c>
      <c r="E185" s="5" t="s">
        <v>606</v>
      </c>
      <c r="F185" s="5" t="s">
        <v>726</v>
      </c>
      <c r="G185" s="5"/>
      <c r="H185" s="5" t="s">
        <v>863</v>
      </c>
      <c r="I185" s="5" t="s">
        <v>47</v>
      </c>
      <c r="J185" s="5" t="s">
        <v>1061</v>
      </c>
      <c r="K185" s="5" t="s">
        <v>1062</v>
      </c>
      <c r="L185" s="5" t="s">
        <v>1063</v>
      </c>
      <c r="M185" s="5" t="s">
        <v>23</v>
      </c>
      <c r="N185" s="9">
        <v>45785</v>
      </c>
      <c r="O185" s="9" t="s">
        <v>399</v>
      </c>
      <c r="P185" s="10"/>
      <c r="Q185" s="5" t="s">
        <v>1139</v>
      </c>
      <c r="R185" s="5"/>
      <c r="S185" s="5"/>
      <c r="T185" s="16" t="str">
        <f>IF(F185="",E185,F185)</f>
        <v>AXP18A</v>
      </c>
      <c r="U185" s="16" t="str">
        <f>H185&amp;I185</f>
        <v>量盈医药医疗增强一号私募证券投资基金A类</v>
      </c>
      <c r="V185" s="17">
        <f>IF(O185="",N185,O185)</f>
        <v>45785</v>
      </c>
    </row>
    <row r="186" spans="1:22" ht="15" customHeight="1" x14ac:dyDescent="0.15">
      <c r="A186" s="5" t="s">
        <v>121</v>
      </c>
      <c r="B186" s="5" t="s">
        <v>471</v>
      </c>
      <c r="C186" s="5" t="s">
        <v>27</v>
      </c>
      <c r="D186" s="5" t="s">
        <v>10</v>
      </c>
      <c r="E186" s="5" t="s">
        <v>607</v>
      </c>
      <c r="F186" s="5" t="s">
        <v>727</v>
      </c>
      <c r="G186" s="5"/>
      <c r="H186" s="5" t="s">
        <v>864</v>
      </c>
      <c r="I186" s="5" t="s">
        <v>47</v>
      </c>
      <c r="J186" s="5" t="s">
        <v>260</v>
      </c>
      <c r="K186" s="5" t="s">
        <v>261</v>
      </c>
      <c r="L186" s="5" t="s">
        <v>979</v>
      </c>
      <c r="M186" s="5" t="s">
        <v>400</v>
      </c>
      <c r="N186" s="9">
        <v>45596</v>
      </c>
      <c r="O186" s="9" t="s">
        <v>399</v>
      </c>
      <c r="P186" s="10"/>
      <c r="Q186" s="5" t="s">
        <v>1135</v>
      </c>
      <c r="R186" s="5" t="s">
        <v>399</v>
      </c>
      <c r="S186" s="5"/>
      <c r="T186" s="16" t="str">
        <f>IF(F186="",E186,F186)</f>
        <v>APY25A</v>
      </c>
      <c r="U186" s="16" t="str">
        <f>H186&amp;I186</f>
        <v>奇盾安富尊荣3号私募证券投资基金A类</v>
      </c>
      <c r="V186" s="17">
        <f>IF(O186="",N186,O186)</f>
        <v>45596</v>
      </c>
    </row>
    <row r="187" spans="1:22" ht="15" customHeight="1" x14ac:dyDescent="0.15">
      <c r="A187" s="5" t="s">
        <v>121</v>
      </c>
      <c r="B187" s="5" t="s">
        <v>472</v>
      </c>
      <c r="C187" s="5" t="s">
        <v>17</v>
      </c>
      <c r="D187" s="5" t="s">
        <v>506</v>
      </c>
      <c r="E187" s="5" t="s">
        <v>608</v>
      </c>
      <c r="F187" s="5"/>
      <c r="G187" s="5"/>
      <c r="H187" s="5" t="s">
        <v>865</v>
      </c>
      <c r="I187" s="5"/>
      <c r="J187" s="5" t="s">
        <v>1064</v>
      </c>
      <c r="K187" s="5" t="s">
        <v>1065</v>
      </c>
      <c r="L187" s="5" t="s">
        <v>1066</v>
      </c>
      <c r="M187" s="5" t="s">
        <v>318</v>
      </c>
      <c r="N187" s="9">
        <v>44820</v>
      </c>
      <c r="O187" s="9">
        <v>45436</v>
      </c>
      <c r="P187" s="10"/>
      <c r="Q187" s="5" t="s">
        <v>1135</v>
      </c>
      <c r="R187" s="5" t="s">
        <v>1212</v>
      </c>
      <c r="S187" s="5"/>
      <c r="T187" s="16" t="str">
        <f>IF(F187="",E187,F187)</f>
        <v>SXG593</v>
      </c>
      <c r="U187" s="16" t="str">
        <f>H187&amp;I187</f>
        <v>博孚利青璜3号私募证券投资基金</v>
      </c>
      <c r="V187" s="17">
        <f>IF(O187="",N187,O187)</f>
        <v>45436</v>
      </c>
    </row>
    <row r="188" spans="1:22" ht="15" customHeight="1" x14ac:dyDescent="0.15">
      <c r="A188" s="5" t="s">
        <v>121</v>
      </c>
      <c r="B188" s="5" t="s">
        <v>473</v>
      </c>
      <c r="C188" s="5" t="s">
        <v>9</v>
      </c>
      <c r="D188" s="5" t="s">
        <v>10</v>
      </c>
      <c r="E188" s="5" t="s">
        <v>609</v>
      </c>
      <c r="F188" s="5"/>
      <c r="G188" s="5"/>
      <c r="H188" s="5" t="s">
        <v>866</v>
      </c>
      <c r="I188" s="5"/>
      <c r="J188" s="5" t="s">
        <v>1067</v>
      </c>
      <c r="K188" s="5" t="s">
        <v>1068</v>
      </c>
      <c r="L188" s="5" t="s">
        <v>1069</v>
      </c>
      <c r="M188" s="5" t="s">
        <v>400</v>
      </c>
      <c r="N188" s="9">
        <v>45118</v>
      </c>
      <c r="O188" s="9" t="s">
        <v>399</v>
      </c>
      <c r="P188" s="10"/>
      <c r="Q188" s="5" t="s">
        <v>1139</v>
      </c>
      <c r="R188" s="5"/>
      <c r="S188" s="5" t="s">
        <v>495</v>
      </c>
      <c r="T188" s="16" t="str">
        <f>IF(F188="",E188,F188)</f>
        <v>SB5360</v>
      </c>
      <c r="U188" s="16" t="str">
        <f>H188&amp;I188</f>
        <v>细水CTA精选1号私募证券投资基金</v>
      </c>
      <c r="V188" s="17">
        <f>IF(O188="",N188,O188)</f>
        <v>45118</v>
      </c>
    </row>
    <row r="189" spans="1:22" ht="15" customHeight="1" x14ac:dyDescent="0.15">
      <c r="A189" s="5" t="s">
        <v>121</v>
      </c>
      <c r="B189" s="5" t="s">
        <v>474</v>
      </c>
      <c r="C189" s="5" t="s">
        <v>9</v>
      </c>
      <c r="D189" s="5" t="s">
        <v>10</v>
      </c>
      <c r="E189" s="5" t="s">
        <v>610</v>
      </c>
      <c r="F189" s="5" t="s">
        <v>728</v>
      </c>
      <c r="G189" s="5"/>
      <c r="H189" s="5" t="s">
        <v>867</v>
      </c>
      <c r="I189" s="5" t="s">
        <v>82</v>
      </c>
      <c r="J189" s="5" t="s">
        <v>1067</v>
      </c>
      <c r="K189" s="5" t="s">
        <v>1068</v>
      </c>
      <c r="L189" s="5" t="s">
        <v>1069</v>
      </c>
      <c r="M189" s="5" t="s">
        <v>400</v>
      </c>
      <c r="N189" s="9">
        <v>45314</v>
      </c>
      <c r="O189" s="9" t="s">
        <v>399</v>
      </c>
      <c r="P189" s="10"/>
      <c r="Q189" s="5" t="s">
        <v>1135</v>
      </c>
      <c r="R189" s="5"/>
      <c r="S189" s="5" t="s">
        <v>496</v>
      </c>
      <c r="T189" s="16" t="str">
        <f>IF(F189="",E189,F189)</f>
        <v>AFW50B</v>
      </c>
      <c r="U189" s="16" t="str">
        <f>H189&amp;I189</f>
        <v>细水居22号私募证券投资基金B类</v>
      </c>
      <c r="V189" s="17">
        <f>IF(O189="",N189,O189)</f>
        <v>45314</v>
      </c>
    </row>
    <row r="190" spans="1:22" ht="15" customHeight="1" x14ac:dyDescent="0.15">
      <c r="A190" s="5" t="s">
        <v>121</v>
      </c>
      <c r="B190" s="5" t="s">
        <v>474</v>
      </c>
      <c r="C190" s="5" t="s">
        <v>9</v>
      </c>
      <c r="D190" s="5" t="s">
        <v>506</v>
      </c>
      <c r="E190" s="5" t="s">
        <v>611</v>
      </c>
      <c r="F190" s="5"/>
      <c r="G190" s="5"/>
      <c r="H190" s="5" t="s">
        <v>868</v>
      </c>
      <c r="I190" s="5"/>
      <c r="J190" s="5" t="s">
        <v>1067</v>
      </c>
      <c r="K190" s="5" t="s">
        <v>1068</v>
      </c>
      <c r="L190" s="5" t="s">
        <v>1069</v>
      </c>
      <c r="M190" s="5" t="s">
        <v>87</v>
      </c>
      <c r="N190" s="9">
        <v>45589</v>
      </c>
      <c r="O190" s="9" t="s">
        <v>399</v>
      </c>
      <c r="P190" s="10"/>
      <c r="Q190" s="5" t="s">
        <v>1135</v>
      </c>
      <c r="R190" s="5"/>
      <c r="S190" s="5" t="s">
        <v>496</v>
      </c>
      <c r="T190" s="16" t="str">
        <f>IF(F190="",E190,F190)</f>
        <v>SAQB83</v>
      </c>
      <c r="U190" s="16" t="str">
        <f>H190&amp;I190</f>
        <v>细水居28号私募证券投资基金</v>
      </c>
      <c r="V190" s="17">
        <f>IF(O190="",N190,O190)</f>
        <v>45589</v>
      </c>
    </row>
    <row r="191" spans="1:22" ht="15" customHeight="1" x14ac:dyDescent="0.15">
      <c r="A191" s="5" t="s">
        <v>121</v>
      </c>
      <c r="B191" s="5" t="s">
        <v>474</v>
      </c>
      <c r="C191" s="5" t="s">
        <v>9</v>
      </c>
      <c r="D191" s="5" t="s">
        <v>506</v>
      </c>
      <c r="E191" s="5" t="s">
        <v>1321</v>
      </c>
      <c r="F191" s="5"/>
      <c r="G191" s="5"/>
      <c r="H191" s="5" t="s">
        <v>1322</v>
      </c>
      <c r="I191" s="5"/>
      <c r="J191" s="5" t="s">
        <v>1067</v>
      </c>
      <c r="K191" s="5" t="s">
        <v>1068</v>
      </c>
      <c r="L191" s="5" t="s">
        <v>1069</v>
      </c>
      <c r="M191" s="5" t="s">
        <v>1323</v>
      </c>
      <c r="N191" s="9">
        <v>45762</v>
      </c>
      <c r="O191" s="9">
        <v>45765</v>
      </c>
      <c r="P191" s="10"/>
      <c r="Q191" s="5"/>
      <c r="R191" s="5"/>
      <c r="S191" s="5"/>
      <c r="T191" s="16" t="str">
        <f>IF(F191="",E191,F191)</f>
        <v>SAWV26</v>
      </c>
      <c r="U191" s="16" t="str">
        <f>H191&amp;I191</f>
        <v>细水居30号私募证券投资基金</v>
      </c>
      <c r="V191" s="17">
        <f>IF(O191="",N191,O191)</f>
        <v>45765</v>
      </c>
    </row>
    <row r="192" spans="1:22" ht="15" customHeight="1" x14ac:dyDescent="0.15">
      <c r="A192" s="5" t="s">
        <v>121</v>
      </c>
      <c r="B192" s="5" t="s">
        <v>475</v>
      </c>
      <c r="C192" s="5" t="s">
        <v>27</v>
      </c>
      <c r="D192" s="5" t="s">
        <v>506</v>
      </c>
      <c r="E192" s="5" t="s">
        <v>615</v>
      </c>
      <c r="F192" s="5"/>
      <c r="G192" s="5"/>
      <c r="H192" s="5" t="s">
        <v>872</v>
      </c>
      <c r="I192" s="5"/>
      <c r="J192" s="5" t="s">
        <v>1076</v>
      </c>
      <c r="K192" s="5" t="s">
        <v>1077</v>
      </c>
      <c r="L192" s="5" t="s">
        <v>1078</v>
      </c>
      <c r="M192" s="5" t="s">
        <v>1009</v>
      </c>
      <c r="N192" s="9">
        <v>45180</v>
      </c>
      <c r="O192" s="9">
        <v>45366</v>
      </c>
      <c r="P192" s="10"/>
      <c r="Q192" s="5" t="s">
        <v>1135</v>
      </c>
      <c r="R192" s="5" t="s">
        <v>1178</v>
      </c>
      <c r="S192" s="5" t="s">
        <v>497</v>
      </c>
      <c r="T192" s="16" t="str">
        <f>IF(F192="",E192,F192)</f>
        <v>SAAU62</v>
      </c>
      <c r="U192" s="16" t="str">
        <f>H192&amp;I192</f>
        <v>鸣熙日耀套利1号私募证券投资基金</v>
      </c>
      <c r="V192" s="17">
        <f>IF(O192="",N192,O192)</f>
        <v>45366</v>
      </c>
    </row>
    <row r="193" spans="1:22" ht="15" customHeight="1" x14ac:dyDescent="0.15">
      <c r="A193" s="5" t="s">
        <v>121</v>
      </c>
      <c r="B193" s="5" t="s">
        <v>475</v>
      </c>
      <c r="C193" s="5" t="s">
        <v>17</v>
      </c>
      <c r="D193" s="5" t="s">
        <v>506</v>
      </c>
      <c r="E193" s="5" t="s">
        <v>161</v>
      </c>
      <c r="F193" s="5"/>
      <c r="G193" s="5"/>
      <c r="H193" s="5" t="s">
        <v>162</v>
      </c>
      <c r="I193" s="5"/>
      <c r="J193" s="5" t="s">
        <v>163</v>
      </c>
      <c r="K193" s="5" t="s">
        <v>164</v>
      </c>
      <c r="L193" s="5"/>
      <c r="M193" s="5" t="s">
        <v>398</v>
      </c>
      <c r="N193" s="9">
        <v>44214</v>
      </c>
      <c r="O193" s="9"/>
      <c r="P193" s="10" t="e">
        <v>#N/A</v>
      </c>
      <c r="Q193" s="5" t="s">
        <v>1135</v>
      </c>
      <c r="R193" s="5"/>
      <c r="S193" s="5" t="s">
        <v>497</v>
      </c>
      <c r="T193" s="16" t="str">
        <f>IF(F193="",E193,F193)</f>
        <v>SNR282</v>
      </c>
      <c r="U193" s="16" t="str">
        <f>H193&amp;I193</f>
        <v>裕锦量化专享2号私募证券投资基金</v>
      </c>
      <c r="V193" s="17">
        <f>IF(O193="",N193,O193)</f>
        <v>44214</v>
      </c>
    </row>
    <row r="194" spans="1:22" ht="15" customHeight="1" x14ac:dyDescent="0.15">
      <c r="A194" s="5" t="s">
        <v>121</v>
      </c>
      <c r="B194" s="5" t="s">
        <v>475</v>
      </c>
      <c r="C194" s="5" t="s">
        <v>9</v>
      </c>
      <c r="D194" s="5" t="s">
        <v>506</v>
      </c>
      <c r="E194" s="5" t="s">
        <v>361</v>
      </c>
      <c r="F194" s="5"/>
      <c r="G194" s="5"/>
      <c r="H194" s="5" t="s">
        <v>873</v>
      </c>
      <c r="I194" s="5"/>
      <c r="J194" s="5" t="s">
        <v>221</v>
      </c>
      <c r="K194" s="5" t="s">
        <v>222</v>
      </c>
      <c r="L194" s="5"/>
      <c r="M194" s="5" t="s">
        <v>398</v>
      </c>
      <c r="N194" s="9">
        <v>44432</v>
      </c>
      <c r="O194" s="9">
        <v>45555</v>
      </c>
      <c r="P194" s="10" t="e">
        <v>#N/A</v>
      </c>
      <c r="Q194" s="5" t="s">
        <v>1139</v>
      </c>
      <c r="R194" s="5" t="s">
        <v>1201</v>
      </c>
      <c r="S194" s="5" t="s">
        <v>497</v>
      </c>
      <c r="T194" s="16" t="str">
        <f>IF(F194="",E194,F194)</f>
        <v>SSH871</v>
      </c>
      <c r="U194" s="16" t="str">
        <f>H194&amp;I194</f>
        <v>芬德-环翼2号私募证券投资基金</v>
      </c>
      <c r="V194" s="17">
        <f>IF(O194="",N194,O194)</f>
        <v>45555</v>
      </c>
    </row>
    <row r="195" spans="1:22" ht="15" customHeight="1" x14ac:dyDescent="0.15">
      <c r="A195" s="5" t="s">
        <v>121</v>
      </c>
      <c r="B195" s="5" t="s">
        <v>475</v>
      </c>
      <c r="C195" s="5" t="s">
        <v>27</v>
      </c>
      <c r="D195" s="5" t="s">
        <v>506</v>
      </c>
      <c r="E195" s="5" t="s">
        <v>612</v>
      </c>
      <c r="F195" s="5"/>
      <c r="G195" s="5"/>
      <c r="H195" s="5" t="s">
        <v>869</v>
      </c>
      <c r="I195" s="5"/>
      <c r="J195" s="5" t="s">
        <v>1070</v>
      </c>
      <c r="K195" s="5" t="s">
        <v>1071</v>
      </c>
      <c r="L195" s="5" t="s">
        <v>1072</v>
      </c>
      <c r="M195" s="5" t="s">
        <v>42</v>
      </c>
      <c r="N195" s="9">
        <v>44747</v>
      </c>
      <c r="O195" s="9" t="s">
        <v>399</v>
      </c>
      <c r="P195" s="10"/>
      <c r="Q195" s="5" t="s">
        <v>1139</v>
      </c>
      <c r="R195" s="5"/>
      <c r="S195" s="5" t="s">
        <v>497</v>
      </c>
      <c r="T195" s="16" t="str">
        <f>IF(F195="",E195,F195)</f>
        <v>SVW664</v>
      </c>
      <c r="U195" s="16" t="str">
        <f>H195&amp;I195</f>
        <v>常行稳健5号私募证券投资基金</v>
      </c>
      <c r="V195" s="17">
        <f>IF(O195="",N195,O195)</f>
        <v>44747</v>
      </c>
    </row>
    <row r="196" spans="1:22" ht="15" customHeight="1" x14ac:dyDescent="0.15">
      <c r="A196" s="5" t="s">
        <v>121</v>
      </c>
      <c r="B196" s="5" t="s">
        <v>475</v>
      </c>
      <c r="C196" s="5"/>
      <c r="D196" s="5" t="s">
        <v>506</v>
      </c>
      <c r="E196" s="5" t="s">
        <v>613</v>
      </c>
      <c r="F196" s="5" t="s">
        <v>729</v>
      </c>
      <c r="G196" s="5"/>
      <c r="H196" s="5" t="s">
        <v>870</v>
      </c>
      <c r="I196" s="5" t="s">
        <v>47</v>
      </c>
      <c r="J196" s="5" t="s">
        <v>964</v>
      </c>
      <c r="K196" s="5" t="s">
        <v>965</v>
      </c>
      <c r="L196" s="5" t="s">
        <v>966</v>
      </c>
      <c r="M196" s="5" t="s">
        <v>1013</v>
      </c>
      <c r="N196" s="9">
        <v>44984</v>
      </c>
      <c r="O196" s="9">
        <v>45553</v>
      </c>
      <c r="P196" s="10"/>
      <c r="Q196" s="5" t="s">
        <v>1139</v>
      </c>
      <c r="R196" s="5" t="s">
        <v>435</v>
      </c>
      <c r="S196" s="5" t="s">
        <v>497</v>
      </c>
      <c r="T196" s="16" t="str">
        <f>IF(F196="",E196,F196)</f>
        <v>ZL441A</v>
      </c>
      <c r="U196" s="16" t="str">
        <f>H196&amp;I196</f>
        <v>蝶威行健私募证券投资基金A类</v>
      </c>
      <c r="V196" s="17">
        <f>IF(O196="",N196,O196)</f>
        <v>45553</v>
      </c>
    </row>
    <row r="197" spans="1:22" ht="15" customHeight="1" x14ac:dyDescent="0.15">
      <c r="A197" s="5" t="s">
        <v>121</v>
      </c>
      <c r="B197" s="5" t="s">
        <v>475</v>
      </c>
      <c r="C197" s="5" t="s">
        <v>27</v>
      </c>
      <c r="D197" s="5" t="s">
        <v>506</v>
      </c>
      <c r="E197" s="5" t="s">
        <v>614</v>
      </c>
      <c r="F197" s="5" t="s">
        <v>730</v>
      </c>
      <c r="G197" s="5"/>
      <c r="H197" s="5" t="s">
        <v>871</v>
      </c>
      <c r="I197" s="5" t="s">
        <v>47</v>
      </c>
      <c r="J197" s="5" t="s">
        <v>1073</v>
      </c>
      <c r="K197" s="5" t="s">
        <v>1074</v>
      </c>
      <c r="L197" s="5" t="s">
        <v>1075</v>
      </c>
      <c r="M197" s="5" t="s">
        <v>398</v>
      </c>
      <c r="N197" s="9">
        <v>45838</v>
      </c>
      <c r="O197" s="9">
        <v>45912</v>
      </c>
      <c r="P197" s="10"/>
      <c r="Q197" s="5" t="s">
        <v>1139</v>
      </c>
      <c r="R197" s="5" t="s">
        <v>425</v>
      </c>
      <c r="S197" s="5" t="s">
        <v>498</v>
      </c>
      <c r="T197" s="16" t="str">
        <f>IF(F197="",E197,F197)</f>
        <v>BAS98A</v>
      </c>
      <c r="U197" s="16" t="str">
        <f>H197&amp;I197</f>
        <v>积沐顺势量行一号私募证券投资基金A类</v>
      </c>
      <c r="V197" s="17">
        <f>IF(O197="",N197,O197)</f>
        <v>45912</v>
      </c>
    </row>
    <row r="198" spans="1:22" ht="15" customHeight="1" x14ac:dyDescent="0.15">
      <c r="A198" s="5" t="s">
        <v>121</v>
      </c>
      <c r="B198" s="5" t="s">
        <v>476</v>
      </c>
      <c r="C198" s="5" t="s">
        <v>9</v>
      </c>
      <c r="D198" s="5" t="s">
        <v>10</v>
      </c>
      <c r="E198" s="5" t="s">
        <v>616</v>
      </c>
      <c r="F198" s="5"/>
      <c r="G198" s="5"/>
      <c r="H198" s="5" t="s">
        <v>874</v>
      </c>
      <c r="I198" s="5"/>
      <c r="J198" s="5" t="s">
        <v>1079</v>
      </c>
      <c r="K198" s="5" t="s">
        <v>1080</v>
      </c>
      <c r="L198" s="5" t="s">
        <v>1081</v>
      </c>
      <c r="M198" s="5" t="s">
        <v>398</v>
      </c>
      <c r="N198" s="9">
        <v>45896</v>
      </c>
      <c r="O198" s="9" t="s">
        <v>399</v>
      </c>
      <c r="P198" s="10"/>
      <c r="Q198" s="5" t="s">
        <v>1139</v>
      </c>
      <c r="R198" s="5"/>
      <c r="S198" s="5"/>
      <c r="T198" s="16" t="str">
        <f>IF(F198="",E198,F198)</f>
        <v>SBEG47</v>
      </c>
      <c r="U198" s="16" t="str">
        <f>H198&amp;I198</f>
        <v>量智传奇CTA三号私募证券投资基金</v>
      </c>
      <c r="V198" s="17">
        <f>IF(O198="",N198,O198)</f>
        <v>45896</v>
      </c>
    </row>
    <row r="199" spans="1:22" ht="15" customHeight="1" x14ac:dyDescent="0.15">
      <c r="A199" s="5" t="s">
        <v>121</v>
      </c>
      <c r="B199" s="5" t="s">
        <v>152</v>
      </c>
      <c r="C199" s="5" t="s">
        <v>17</v>
      </c>
      <c r="D199" s="5" t="s">
        <v>506</v>
      </c>
      <c r="E199" s="5" t="s">
        <v>153</v>
      </c>
      <c r="F199" s="5"/>
      <c r="G199" s="5"/>
      <c r="H199" s="5" t="s">
        <v>154</v>
      </c>
      <c r="I199" s="5"/>
      <c r="J199" s="5" t="s">
        <v>155</v>
      </c>
      <c r="K199" s="5" t="s">
        <v>156</v>
      </c>
      <c r="L199" s="5" t="s">
        <v>157</v>
      </c>
      <c r="M199" s="5" t="s">
        <v>23</v>
      </c>
      <c r="N199" s="9">
        <v>44256</v>
      </c>
      <c r="O199" s="9"/>
      <c r="P199" s="10" t="s">
        <v>14</v>
      </c>
      <c r="Q199" s="5" t="s">
        <v>1139</v>
      </c>
      <c r="R199" s="5"/>
      <c r="S199" s="5"/>
      <c r="T199" s="16" t="str">
        <f>IF(F199="",E199,F199)</f>
        <v>SQA536</v>
      </c>
      <c r="U199" s="16" t="str">
        <f>H199&amp;I199</f>
        <v>图斯和贞私募证券投资基金</v>
      </c>
      <c r="V199" s="17">
        <f>IF(O199="",N199,O199)</f>
        <v>44256</v>
      </c>
    </row>
    <row r="200" spans="1:22" ht="15" customHeight="1" x14ac:dyDescent="0.15">
      <c r="A200" s="5" t="s">
        <v>121</v>
      </c>
      <c r="B200" s="5" t="s">
        <v>477</v>
      </c>
      <c r="C200" s="5" t="s">
        <v>17</v>
      </c>
      <c r="D200" s="5" t="s">
        <v>10</v>
      </c>
      <c r="E200" s="5" t="s">
        <v>158</v>
      </c>
      <c r="F200" s="5" t="s">
        <v>731</v>
      </c>
      <c r="G200" s="5"/>
      <c r="H200" s="5" t="s">
        <v>875</v>
      </c>
      <c r="I200" s="5" t="s">
        <v>47</v>
      </c>
      <c r="J200" s="5" t="s">
        <v>159</v>
      </c>
      <c r="K200" s="5" t="s">
        <v>160</v>
      </c>
      <c r="L200" s="5"/>
      <c r="M200" s="5" t="s">
        <v>87</v>
      </c>
      <c r="N200" s="9">
        <v>45084</v>
      </c>
      <c r="O200" s="9"/>
      <c r="P200" s="10" t="s">
        <v>14</v>
      </c>
      <c r="Q200" s="5" t="s">
        <v>1139</v>
      </c>
      <c r="R200" s="5"/>
      <c r="S200" s="5"/>
      <c r="T200" s="16" t="str">
        <f>IF(F200="",E200,F200)</f>
        <v>B2050A</v>
      </c>
      <c r="U200" s="16" t="str">
        <f>H200&amp;I200</f>
        <v>南京长木常青1号私募证券投资基金A类</v>
      </c>
      <c r="V200" s="17">
        <f>IF(O200="",N200,O200)</f>
        <v>45084</v>
      </c>
    </row>
    <row r="201" spans="1:22" ht="15" customHeight="1" x14ac:dyDescent="0.15">
      <c r="A201" s="5" t="s">
        <v>121</v>
      </c>
      <c r="B201" s="5" t="s">
        <v>477</v>
      </c>
      <c r="C201" s="5" t="s">
        <v>9</v>
      </c>
      <c r="D201" s="5" t="s">
        <v>10</v>
      </c>
      <c r="E201" s="5" t="s">
        <v>123</v>
      </c>
      <c r="F201" s="5"/>
      <c r="G201" s="5" t="s">
        <v>124</v>
      </c>
      <c r="H201" s="5" t="s">
        <v>125</v>
      </c>
      <c r="I201" s="5"/>
      <c r="J201" s="5" t="s">
        <v>126</v>
      </c>
      <c r="K201" s="5" t="s">
        <v>127</v>
      </c>
      <c r="L201" s="5" t="s">
        <v>128</v>
      </c>
      <c r="M201" s="5" t="s">
        <v>87</v>
      </c>
      <c r="N201" s="9">
        <v>44824</v>
      </c>
      <c r="O201" s="9"/>
      <c r="P201" s="10" t="s">
        <v>14</v>
      </c>
      <c r="Q201" s="5" t="s">
        <v>1135</v>
      </c>
      <c r="R201" s="5"/>
      <c r="S201" s="5"/>
      <c r="T201" s="16" t="str">
        <f>IF(F201="",E201,F201)</f>
        <v>SXJ080</v>
      </c>
      <c r="U201" s="16" t="str">
        <f>H201&amp;I201</f>
        <v>因诺CTA2号私募证券投资基金</v>
      </c>
      <c r="V201" s="17">
        <f>IF(O201="",N201,O201)</f>
        <v>44824</v>
      </c>
    </row>
    <row r="202" spans="1:22" ht="15" customHeight="1" x14ac:dyDescent="0.15">
      <c r="A202" s="5" t="s">
        <v>121</v>
      </c>
      <c r="B202" s="5" t="s">
        <v>140</v>
      </c>
      <c r="C202" s="5" t="s">
        <v>17</v>
      </c>
      <c r="D202" s="5" t="s">
        <v>506</v>
      </c>
      <c r="E202" s="5" t="s">
        <v>141</v>
      </c>
      <c r="F202" s="5"/>
      <c r="G202" s="5"/>
      <c r="H202" s="5" t="s">
        <v>142</v>
      </c>
      <c r="I202" s="5"/>
      <c r="J202" s="5" t="s">
        <v>143</v>
      </c>
      <c r="K202" s="5" t="s">
        <v>144</v>
      </c>
      <c r="L202" s="5" t="s">
        <v>145</v>
      </c>
      <c r="M202" s="5" t="s">
        <v>398</v>
      </c>
      <c r="N202" s="9">
        <v>43675</v>
      </c>
      <c r="O202" s="9"/>
      <c r="P202" s="10" t="s">
        <v>14</v>
      </c>
      <c r="Q202" s="5" t="s">
        <v>1135</v>
      </c>
      <c r="R202" s="5"/>
      <c r="S202" s="5"/>
      <c r="T202" s="16" t="str">
        <f>IF(F202="",E202,F202)</f>
        <v>SGW076</v>
      </c>
      <c r="U202" s="16" t="str">
        <f>H202&amp;I202</f>
        <v>佑维CTA平衡一号私募证券投资基金</v>
      </c>
      <c r="V202" s="17">
        <f>IF(O202="",N202,O202)</f>
        <v>43675</v>
      </c>
    </row>
    <row r="203" spans="1:22" ht="15" customHeight="1" x14ac:dyDescent="0.15">
      <c r="A203" s="5" t="s">
        <v>121</v>
      </c>
      <c r="B203" s="5" t="s">
        <v>129</v>
      </c>
      <c r="C203" s="5" t="s">
        <v>27</v>
      </c>
      <c r="D203" s="5" t="s">
        <v>506</v>
      </c>
      <c r="E203" s="5" t="s">
        <v>130</v>
      </c>
      <c r="F203" s="5"/>
      <c r="G203" s="5"/>
      <c r="H203" s="5" t="s">
        <v>131</v>
      </c>
      <c r="I203" s="5"/>
      <c r="J203" s="5" t="s">
        <v>132</v>
      </c>
      <c r="K203" s="5" t="s">
        <v>133</v>
      </c>
      <c r="L203" s="5" t="s">
        <v>134</v>
      </c>
      <c r="M203" s="5" t="s">
        <v>398</v>
      </c>
      <c r="N203" s="9">
        <v>44299</v>
      </c>
      <c r="O203" s="9"/>
      <c r="P203" s="10" t="s">
        <v>14</v>
      </c>
      <c r="Q203" s="5" t="s">
        <v>1135</v>
      </c>
      <c r="R203" s="5"/>
      <c r="S203" s="5"/>
      <c r="T203" s="16" t="str">
        <f>IF(F203="",E203,F203)</f>
        <v>SQH418</v>
      </c>
      <c r="U203" s="16" t="str">
        <f>H203&amp;I203</f>
        <v>富励业长江1号宏观量化私募证券投资基金</v>
      </c>
      <c r="V203" s="17">
        <f>IF(O203="",N203,O203)</f>
        <v>44299</v>
      </c>
    </row>
    <row r="204" spans="1:22" ht="15" customHeight="1" x14ac:dyDescent="0.15">
      <c r="A204" s="5" t="s">
        <v>121</v>
      </c>
      <c r="B204" s="5" t="s">
        <v>478</v>
      </c>
      <c r="C204" s="5" t="s">
        <v>27</v>
      </c>
      <c r="D204" s="5" t="s">
        <v>506</v>
      </c>
      <c r="E204" s="5" t="s">
        <v>617</v>
      </c>
      <c r="F204" s="5"/>
      <c r="G204" s="5"/>
      <c r="H204" s="5" t="s">
        <v>876</v>
      </c>
      <c r="I204" s="5"/>
      <c r="J204" s="5" t="s">
        <v>1082</v>
      </c>
      <c r="K204" s="5" t="s">
        <v>1083</v>
      </c>
      <c r="L204" s="5" t="s">
        <v>1084</v>
      </c>
      <c r="M204" s="5" t="s">
        <v>23</v>
      </c>
      <c r="N204" s="9">
        <v>45887</v>
      </c>
      <c r="O204" s="9" t="s">
        <v>399</v>
      </c>
      <c r="P204" s="10"/>
      <c r="Q204" s="5" t="s">
        <v>1139</v>
      </c>
      <c r="R204" s="5"/>
      <c r="S204" s="5"/>
      <c r="T204" s="16" t="str">
        <f>IF(F204="",E204,F204)</f>
        <v>SBDG69</v>
      </c>
      <c r="U204" s="16" t="str">
        <f>H204&amp;I204</f>
        <v>洛书信享CTA1号私募证券投资基金</v>
      </c>
      <c r="V204" s="17">
        <f>IF(O204="",N204,O204)</f>
        <v>45887</v>
      </c>
    </row>
    <row r="205" spans="1:22" ht="15" customHeight="1" x14ac:dyDescent="0.15">
      <c r="A205" s="5" t="s">
        <v>121</v>
      </c>
      <c r="B205" s="5" t="s">
        <v>146</v>
      </c>
      <c r="C205" s="5" t="s">
        <v>17</v>
      </c>
      <c r="D205" s="5" t="s">
        <v>10</v>
      </c>
      <c r="E205" s="5" t="s">
        <v>147</v>
      </c>
      <c r="F205" s="5"/>
      <c r="G205" s="5" t="e">
        <v>#N/A</v>
      </c>
      <c r="H205" s="5" t="s">
        <v>148</v>
      </c>
      <c r="I205" s="5"/>
      <c r="J205" s="5" t="s">
        <v>149</v>
      </c>
      <c r="K205" s="5" t="s">
        <v>150</v>
      </c>
      <c r="L205" s="5" t="s">
        <v>151</v>
      </c>
      <c r="M205" s="5" t="s">
        <v>398</v>
      </c>
      <c r="N205" s="9">
        <v>42795</v>
      </c>
      <c r="O205" s="9"/>
      <c r="P205" s="10" t="s">
        <v>14</v>
      </c>
      <c r="Q205" s="5" t="s">
        <v>1139</v>
      </c>
      <c r="R205" s="5"/>
      <c r="S205" s="5"/>
      <c r="T205" s="16" t="str">
        <f>IF(F205="",E205,F205)</f>
        <v>SS0221</v>
      </c>
      <c r="U205" s="16" t="str">
        <f>H205&amp;I205</f>
        <v>均成CTA1号私募投资基金</v>
      </c>
      <c r="V205" s="17">
        <f>IF(O205="",N205,O205)</f>
        <v>42795</v>
      </c>
    </row>
    <row r="206" spans="1:22" ht="15" customHeight="1" x14ac:dyDescent="0.15">
      <c r="A206" s="5" t="s">
        <v>121</v>
      </c>
      <c r="B206" s="5" t="s">
        <v>122</v>
      </c>
      <c r="C206" s="5" t="s">
        <v>9</v>
      </c>
      <c r="D206" s="5" t="s">
        <v>10</v>
      </c>
      <c r="E206" s="5" t="s">
        <v>135</v>
      </c>
      <c r="F206" s="5"/>
      <c r="G206" s="5"/>
      <c r="H206" s="5" t="s">
        <v>136</v>
      </c>
      <c r="I206" s="5"/>
      <c r="J206" s="5" t="s">
        <v>137</v>
      </c>
      <c r="K206" s="5" t="s">
        <v>138</v>
      </c>
      <c r="L206" s="5" t="s">
        <v>139</v>
      </c>
      <c r="M206" s="5" t="s">
        <v>87</v>
      </c>
      <c r="N206" s="9">
        <v>42471</v>
      </c>
      <c r="O206" s="9"/>
      <c r="P206" s="10" t="s">
        <v>14</v>
      </c>
      <c r="Q206" s="5" t="s">
        <v>1135</v>
      </c>
      <c r="R206" s="5"/>
      <c r="S206" s="5"/>
      <c r="T206" s="16" t="str">
        <f>IF(F206="",E206,F206)</f>
        <v>SD8726</v>
      </c>
      <c r="U206" s="16" t="str">
        <f>H206&amp;I206</f>
        <v>黑翼CTA三号基金</v>
      </c>
      <c r="V206" s="17">
        <f>IF(O206="",N206,O206)</f>
        <v>42471</v>
      </c>
    </row>
    <row r="207" spans="1:22" ht="15" customHeight="1" x14ac:dyDescent="0.15">
      <c r="A207" s="5" t="s">
        <v>121</v>
      </c>
      <c r="B207" s="5"/>
      <c r="C207" s="5" t="s">
        <v>17</v>
      </c>
      <c r="D207" s="5" t="s">
        <v>506</v>
      </c>
      <c r="E207" s="5" t="s">
        <v>360</v>
      </c>
      <c r="F207" s="5" t="s">
        <v>732</v>
      </c>
      <c r="G207" s="5"/>
      <c r="H207" s="5" t="s">
        <v>877</v>
      </c>
      <c r="I207" s="5" t="s">
        <v>82</v>
      </c>
      <c r="J207" s="5" t="s">
        <v>137</v>
      </c>
      <c r="K207" s="5" t="s">
        <v>138</v>
      </c>
      <c r="L207" s="5"/>
      <c r="M207" s="5" t="s">
        <v>398</v>
      </c>
      <c r="N207" s="9">
        <v>45412</v>
      </c>
      <c r="O207" s="9"/>
      <c r="P207" s="10" t="s">
        <v>24</v>
      </c>
      <c r="Q207" s="5" t="s">
        <v>1135</v>
      </c>
      <c r="R207" s="5"/>
      <c r="S207" s="5"/>
      <c r="T207" s="16" t="str">
        <f>IF(F207="",E207,F207)</f>
        <v>AFU81B</v>
      </c>
      <c r="U207" s="16" t="str">
        <f>H207&amp;I207</f>
        <v>黑翼金选多策略3号私募证券投资基金B类</v>
      </c>
      <c r="V207" s="17">
        <f>IF(O207="",N207,O207)</f>
        <v>45412</v>
      </c>
    </row>
    <row r="208" spans="1:22" ht="15" customHeight="1" x14ac:dyDescent="0.15">
      <c r="A208" s="5" t="s">
        <v>121</v>
      </c>
      <c r="B208" s="5"/>
      <c r="C208" s="5" t="s">
        <v>27</v>
      </c>
      <c r="D208" s="5" t="s">
        <v>506</v>
      </c>
      <c r="E208" s="5" t="s">
        <v>1263</v>
      </c>
      <c r="F208" s="5" t="s">
        <v>1264</v>
      </c>
      <c r="G208" s="5"/>
      <c r="H208" s="5" t="s">
        <v>1265</v>
      </c>
      <c r="I208" s="5" t="s">
        <v>82</v>
      </c>
      <c r="J208" s="5" t="s">
        <v>1266</v>
      </c>
      <c r="K208" s="5" t="s">
        <v>1267</v>
      </c>
      <c r="L208" s="5" t="s">
        <v>1268</v>
      </c>
      <c r="M208" s="5" t="s">
        <v>23</v>
      </c>
      <c r="N208" s="9">
        <v>45793</v>
      </c>
      <c r="O208" s="9">
        <v>45884</v>
      </c>
      <c r="P208" s="10"/>
      <c r="Q208" s="5"/>
      <c r="R208" s="5" t="s">
        <v>399</v>
      </c>
      <c r="S208" s="5"/>
      <c r="T208" s="16" t="str">
        <f>IF(F208="",E208,F208)</f>
        <v>AYS34B</v>
      </c>
      <c r="U208" s="16" t="str">
        <f>H208&amp;I208</f>
        <v>乾上泉CTA风起一号私募证券投资基金B类</v>
      </c>
      <c r="V208" s="17">
        <f>IF(O208="",N208,O208)</f>
        <v>45884</v>
      </c>
    </row>
    <row r="209" spans="1:22" ht="15" customHeight="1" x14ac:dyDescent="0.15">
      <c r="A209" s="5" t="s">
        <v>107</v>
      </c>
      <c r="B209" s="5" t="s">
        <v>108</v>
      </c>
      <c r="C209" s="5" t="s">
        <v>9</v>
      </c>
      <c r="D209" s="5" t="s">
        <v>10</v>
      </c>
      <c r="E209" s="5" t="s">
        <v>109</v>
      </c>
      <c r="F209" s="5"/>
      <c r="G209" s="5"/>
      <c r="H209" s="5" t="s">
        <v>110</v>
      </c>
      <c r="I209" s="5"/>
      <c r="J209" s="5" t="s">
        <v>111</v>
      </c>
      <c r="K209" s="5" t="s">
        <v>112</v>
      </c>
      <c r="L209" s="5" t="s">
        <v>113</v>
      </c>
      <c r="M209" s="5" t="s">
        <v>398</v>
      </c>
      <c r="N209" s="9">
        <v>44305</v>
      </c>
      <c r="O209" s="9"/>
      <c r="P209" s="10" t="e">
        <v>#N/A</v>
      </c>
      <c r="Q209" s="5" t="s">
        <v>1135</v>
      </c>
      <c r="R209" s="5"/>
      <c r="S209" s="5"/>
      <c r="T209" s="16" t="str">
        <f>IF(F209="",E209,F209)</f>
        <v>SQD620</v>
      </c>
      <c r="U209" s="16" t="str">
        <f>H209&amp;I209</f>
        <v>深度梦扬量化套利0号私募证券投资基金</v>
      </c>
      <c r="V209" s="17">
        <f>IF(O209="",N209,O209)</f>
        <v>44305</v>
      </c>
    </row>
    <row r="210" spans="1:22" ht="15" customHeight="1" x14ac:dyDescent="0.15">
      <c r="A210" s="5" t="s">
        <v>107</v>
      </c>
      <c r="B210" s="5" t="s">
        <v>108</v>
      </c>
      <c r="C210" s="5" t="s">
        <v>17</v>
      </c>
      <c r="D210" s="5" t="s">
        <v>10</v>
      </c>
      <c r="E210" s="5" t="s">
        <v>114</v>
      </c>
      <c r="F210" s="5"/>
      <c r="G210" s="5"/>
      <c r="H210" s="5" t="s">
        <v>115</v>
      </c>
      <c r="I210" s="5"/>
      <c r="J210" s="5" t="s">
        <v>111</v>
      </c>
      <c r="K210" s="5" t="s">
        <v>112</v>
      </c>
      <c r="L210" s="5" t="s">
        <v>113</v>
      </c>
      <c r="M210" s="5" t="s">
        <v>23</v>
      </c>
      <c r="N210" s="9">
        <v>44985</v>
      </c>
      <c r="O210" s="9"/>
      <c r="P210" s="10" t="e">
        <v>#N/A</v>
      </c>
      <c r="Q210" s="5" t="s">
        <v>1139</v>
      </c>
      <c r="R210" s="5"/>
      <c r="S210" s="5"/>
      <c r="T210" s="16" t="str">
        <f>IF(F210="",E210,F210)</f>
        <v>SZM348</v>
      </c>
      <c r="U210" s="16" t="str">
        <f>H210&amp;I210</f>
        <v>深度梦扬量化1号私募证券投资基金</v>
      </c>
      <c r="V210" s="17">
        <f>IF(O210="",N210,O210)</f>
        <v>44985</v>
      </c>
    </row>
    <row r="211" spans="1:22" ht="15" customHeight="1" x14ac:dyDescent="0.15">
      <c r="A211" s="5" t="s">
        <v>107</v>
      </c>
      <c r="B211" s="5" t="s">
        <v>479</v>
      </c>
      <c r="C211" s="5" t="s">
        <v>27</v>
      </c>
      <c r="D211" s="5" t="s">
        <v>506</v>
      </c>
      <c r="E211" s="5" t="s">
        <v>619</v>
      </c>
      <c r="F211" s="5"/>
      <c r="G211" s="5"/>
      <c r="H211" s="5" t="s">
        <v>879</v>
      </c>
      <c r="I211" s="5"/>
      <c r="J211" s="5" t="s">
        <v>93</v>
      </c>
      <c r="K211" s="5" t="s">
        <v>914</v>
      </c>
      <c r="L211" s="5" t="s">
        <v>95</v>
      </c>
      <c r="M211" s="5" t="s">
        <v>398</v>
      </c>
      <c r="N211" s="9">
        <v>45929</v>
      </c>
      <c r="O211" s="9">
        <v>45967</v>
      </c>
      <c r="P211" s="10"/>
      <c r="Q211" s="5" t="s">
        <v>1139</v>
      </c>
      <c r="R211" s="5"/>
      <c r="S211" s="5"/>
      <c r="T211" s="16" t="str">
        <f>IF(F211="",E211,F211)</f>
        <v>SBEM86</v>
      </c>
      <c r="U211" s="16" t="str">
        <f>H211&amp;I211</f>
        <v>臻选期权套利一号私募证券投资基金</v>
      </c>
      <c r="V211" s="17">
        <f>IF(O211="",N211,O211)</f>
        <v>45967</v>
      </c>
    </row>
    <row r="212" spans="1:22" ht="15" customHeight="1" x14ac:dyDescent="0.15">
      <c r="A212" s="5" t="s">
        <v>107</v>
      </c>
      <c r="B212" s="5" t="s">
        <v>116</v>
      </c>
      <c r="C212" s="5" t="s">
        <v>17</v>
      </c>
      <c r="D212" s="5" t="s">
        <v>10</v>
      </c>
      <c r="E212" s="5" t="s">
        <v>117</v>
      </c>
      <c r="F212" s="5"/>
      <c r="G212" s="5"/>
      <c r="H212" s="5" t="s">
        <v>118</v>
      </c>
      <c r="I212" s="5"/>
      <c r="J212" s="5" t="s">
        <v>119</v>
      </c>
      <c r="K212" s="5" t="s">
        <v>120</v>
      </c>
      <c r="L212" s="5" t="s">
        <v>1085</v>
      </c>
      <c r="M212" s="5" t="s">
        <v>398</v>
      </c>
      <c r="N212" s="9">
        <v>45163</v>
      </c>
      <c r="O212" s="9"/>
      <c r="P212" s="10" t="e">
        <v>#N/A</v>
      </c>
      <c r="Q212" s="5" t="s">
        <v>1139</v>
      </c>
      <c r="R212" s="5"/>
      <c r="S212" s="5"/>
      <c r="T212" s="16" t="str">
        <f>IF(F212="",E212,F212)</f>
        <v>SB4770</v>
      </c>
      <c r="U212" s="16" t="str">
        <f>H212&amp;I212</f>
        <v>长石智赢11号私募证券投资基金</v>
      </c>
      <c r="V212" s="17">
        <f>IF(O212="",N212,O212)</f>
        <v>45163</v>
      </c>
    </row>
    <row r="213" spans="1:22" ht="15" customHeight="1" x14ac:dyDescent="0.15">
      <c r="A213" s="5" t="s">
        <v>107</v>
      </c>
      <c r="B213" s="5" t="s">
        <v>451</v>
      </c>
      <c r="C213" s="5" t="s">
        <v>27</v>
      </c>
      <c r="D213" s="5" t="s">
        <v>506</v>
      </c>
      <c r="E213" s="5" t="s">
        <v>618</v>
      </c>
      <c r="F213" s="5" t="s">
        <v>733</v>
      </c>
      <c r="G213" s="5"/>
      <c r="H213" s="5" t="s">
        <v>878</v>
      </c>
      <c r="I213" s="5" t="s">
        <v>82</v>
      </c>
      <c r="J213" s="5" t="s">
        <v>1086</v>
      </c>
      <c r="K213" s="5" t="s">
        <v>1087</v>
      </c>
      <c r="L213" s="5" t="s">
        <v>1088</v>
      </c>
      <c r="M213" s="5" t="s">
        <v>87</v>
      </c>
      <c r="N213" s="9">
        <v>44932</v>
      </c>
      <c r="O213" s="9">
        <v>45660</v>
      </c>
      <c r="P213" s="10"/>
      <c r="Q213" s="5" t="s">
        <v>1139</v>
      </c>
      <c r="R213" s="5" t="s">
        <v>437</v>
      </c>
      <c r="S213" s="5"/>
      <c r="T213" s="16" t="str">
        <f>IF(F213="",E213,F213)</f>
        <v>XZ504B</v>
      </c>
      <c r="U213" s="16" t="str">
        <f>H213&amp;I213</f>
        <v>君宜敏泰私募证券投资基金B类</v>
      </c>
      <c r="V213" s="17">
        <f>IF(O213="",N213,O213)</f>
        <v>45660</v>
      </c>
    </row>
    <row r="214" spans="1:22" ht="15" customHeight="1" x14ac:dyDescent="0.15">
      <c r="A214" s="5" t="s">
        <v>449</v>
      </c>
      <c r="B214" s="5" t="s">
        <v>480</v>
      </c>
      <c r="C214" s="5" t="s">
        <v>27</v>
      </c>
      <c r="D214" s="5" t="s">
        <v>10</v>
      </c>
      <c r="E214" s="5" t="s">
        <v>355</v>
      </c>
      <c r="F214" s="5"/>
      <c r="G214" s="5"/>
      <c r="H214" s="5" t="s">
        <v>356</v>
      </c>
      <c r="I214" s="5"/>
      <c r="J214" s="5" t="s">
        <v>357</v>
      </c>
      <c r="K214" s="5" t="s">
        <v>358</v>
      </c>
      <c r="L214" s="5" t="s">
        <v>1089</v>
      </c>
      <c r="M214" s="5" t="s">
        <v>23</v>
      </c>
      <c r="N214" s="9">
        <v>44673</v>
      </c>
      <c r="O214" s="9"/>
      <c r="P214" s="10" t="e">
        <v>#N/A</v>
      </c>
      <c r="Q214" s="5" t="s">
        <v>1135</v>
      </c>
      <c r="R214" s="5"/>
      <c r="S214" s="5"/>
      <c r="T214" s="16" t="str">
        <f>IF(F214="",E214,F214)</f>
        <v>SVN330</v>
      </c>
      <c r="U214" s="16" t="str">
        <f>H214&amp;I214</f>
        <v>易者共赢1号私募证券投资基金</v>
      </c>
      <c r="V214" s="17">
        <f>IF(O214="",N214,O214)</f>
        <v>44673</v>
      </c>
    </row>
    <row r="215" spans="1:22" ht="15" customHeight="1" x14ac:dyDescent="0.15">
      <c r="A215" s="5" t="s">
        <v>449</v>
      </c>
      <c r="B215" s="5" t="s">
        <v>481</v>
      </c>
      <c r="C215" s="5" t="s">
        <v>27</v>
      </c>
      <c r="D215" s="5" t="s">
        <v>10</v>
      </c>
      <c r="E215" s="5" t="s">
        <v>620</v>
      </c>
      <c r="F215" s="5" t="s">
        <v>734</v>
      </c>
      <c r="G215" s="5"/>
      <c r="H215" s="5" t="s">
        <v>1229</v>
      </c>
      <c r="I215" s="5" t="s">
        <v>82</v>
      </c>
      <c r="J215" s="5" t="s">
        <v>961</v>
      </c>
      <c r="K215" s="5" t="s">
        <v>962</v>
      </c>
      <c r="L215" s="5" t="s">
        <v>1050</v>
      </c>
      <c r="M215" s="5" t="s">
        <v>23</v>
      </c>
      <c r="N215" s="9">
        <v>44914</v>
      </c>
      <c r="O215" s="9">
        <v>45667</v>
      </c>
      <c r="P215" s="10" t="e">
        <v>#N/A</v>
      </c>
      <c r="Q215" s="5" t="s">
        <v>1139</v>
      </c>
      <c r="R215" s="5" t="s">
        <v>1230</v>
      </c>
      <c r="S215" s="5"/>
      <c r="T215" s="16" t="str">
        <f>IF(F215="",E215,F215)</f>
        <v>XX066B</v>
      </c>
      <c r="U215" s="16" t="str">
        <f>H215&amp;I215</f>
        <v>半鞅CTA稳健1号私募证券投资基金B类</v>
      </c>
      <c r="V215" s="17">
        <f>IF(O215="",N215,O215)</f>
        <v>45667</v>
      </c>
    </row>
    <row r="216" spans="1:22" ht="15" customHeight="1" x14ac:dyDescent="0.15">
      <c r="A216" s="5" t="s">
        <v>449</v>
      </c>
      <c r="B216" s="5"/>
      <c r="C216" s="5" t="s">
        <v>27</v>
      </c>
      <c r="D216" s="5" t="s">
        <v>10</v>
      </c>
      <c r="E216" s="5" t="s">
        <v>1312</v>
      </c>
      <c r="F216" s="5" t="s">
        <v>1313</v>
      </c>
      <c r="G216" s="5"/>
      <c r="H216" s="5" t="s">
        <v>1314</v>
      </c>
      <c r="I216" s="5" t="s">
        <v>47</v>
      </c>
      <c r="J216" s="5" t="s">
        <v>1315</v>
      </c>
      <c r="K216" s="5" t="s">
        <v>1316</v>
      </c>
      <c r="L216" s="5" t="s">
        <v>1317</v>
      </c>
      <c r="M216" s="5" t="s">
        <v>1122</v>
      </c>
      <c r="N216" s="9">
        <v>45849</v>
      </c>
      <c r="O216" s="9">
        <v>45855</v>
      </c>
      <c r="P216" s="10"/>
      <c r="Q216" s="5"/>
      <c r="R216" s="5"/>
      <c r="S216" s="5"/>
      <c r="T216" s="16" t="str">
        <f>IF(F216="",E216,F216)</f>
        <v>BAS23A</v>
      </c>
      <c r="U216" s="16" t="str">
        <f>H216&amp;I216</f>
        <v>熠道涌泉1号私募证券投资基金A类</v>
      </c>
      <c r="V216" s="17">
        <f>IF(O216="",N216,O216)</f>
        <v>45855</v>
      </c>
    </row>
    <row r="217" spans="1:22" ht="15" customHeight="1" x14ac:dyDescent="0.15">
      <c r="A217" s="5" t="s">
        <v>1248</v>
      </c>
      <c r="B217" s="5" t="s">
        <v>450</v>
      </c>
      <c r="C217" s="5"/>
      <c r="D217" s="5" t="s">
        <v>506</v>
      </c>
      <c r="E217" s="5" t="s">
        <v>1257</v>
      </c>
      <c r="F217" s="5" t="s">
        <v>1258</v>
      </c>
      <c r="G217" s="5"/>
      <c r="H217" s="5" t="s">
        <v>1259</v>
      </c>
      <c r="I217" s="5" t="s">
        <v>82</v>
      </c>
      <c r="J217" s="5" t="s">
        <v>1260</v>
      </c>
      <c r="K217" s="5" t="s">
        <v>1261</v>
      </c>
      <c r="L217" s="5" t="s">
        <v>1262</v>
      </c>
      <c r="M217" s="5" t="s">
        <v>87</v>
      </c>
      <c r="N217" s="9">
        <v>45212</v>
      </c>
      <c r="O217" s="9">
        <v>45706</v>
      </c>
      <c r="P217" s="10"/>
      <c r="Q217" s="5"/>
      <c r="R217" s="5" t="s">
        <v>399</v>
      </c>
      <c r="S217" s="5"/>
      <c r="T217" s="16" t="str">
        <f>IF(F217="",E217,F217)</f>
        <v>ABW07B</v>
      </c>
      <c r="U217" s="16" t="str">
        <f>H217&amp;I217</f>
        <v>希瓦活力私募证券投资基金B类</v>
      </c>
      <c r="V217" s="17">
        <f>IF(O217="",N217,O217)</f>
        <v>45706</v>
      </c>
    </row>
    <row r="218" spans="1:22" ht="15" customHeight="1" x14ac:dyDescent="0.15">
      <c r="A218" s="5" t="s">
        <v>1248</v>
      </c>
      <c r="B218" s="5"/>
      <c r="C218" s="5" t="s">
        <v>505</v>
      </c>
      <c r="D218" s="5" t="s">
        <v>506</v>
      </c>
      <c r="E218" s="5" t="s">
        <v>1285</v>
      </c>
      <c r="F218" s="5"/>
      <c r="G218" s="5"/>
      <c r="H218" s="5" t="s">
        <v>1286</v>
      </c>
      <c r="I218" s="5"/>
      <c r="J218" s="5" t="s">
        <v>1287</v>
      </c>
      <c r="K218" s="5" t="s">
        <v>1288</v>
      </c>
      <c r="L218" s="5"/>
      <c r="M218" s="5" t="s">
        <v>87</v>
      </c>
      <c r="N218" s="9">
        <v>43392</v>
      </c>
      <c r="O218" s="9">
        <v>45905</v>
      </c>
      <c r="P218" s="10"/>
      <c r="Q218" s="5"/>
      <c r="R218" s="5"/>
      <c r="S218" s="5"/>
      <c r="T218" s="16" t="str">
        <f>IF(F218="",E218,F218)</f>
        <v>SEN020</v>
      </c>
      <c r="U218" s="16" t="str">
        <f>H218&amp;I218</f>
        <v>引擎资本中国机会高收益债券私募基金1号</v>
      </c>
      <c r="V218" s="17">
        <f>IF(O218="",N218,O218)</f>
        <v>45905</v>
      </c>
    </row>
    <row r="219" spans="1:22" ht="15" customHeight="1" x14ac:dyDescent="0.15">
      <c r="A219" s="5" t="s">
        <v>1248</v>
      </c>
      <c r="B219" s="5"/>
      <c r="C219" s="5" t="s">
        <v>505</v>
      </c>
      <c r="D219" s="5" t="s">
        <v>506</v>
      </c>
      <c r="E219" s="5" t="s">
        <v>1269</v>
      </c>
      <c r="F219" s="5" t="s">
        <v>1270</v>
      </c>
      <c r="G219" s="5"/>
      <c r="H219" s="5" t="s">
        <v>1271</v>
      </c>
      <c r="I219" s="5" t="s">
        <v>47</v>
      </c>
      <c r="J219" s="5" t="s">
        <v>1272</v>
      </c>
      <c r="K219" s="5" t="s">
        <v>1273</v>
      </c>
      <c r="L219" s="5" t="s">
        <v>1274</v>
      </c>
      <c r="M219" s="5" t="s">
        <v>1092</v>
      </c>
      <c r="N219" s="9">
        <v>44712</v>
      </c>
      <c r="O219" s="9">
        <v>45891</v>
      </c>
      <c r="P219" s="10"/>
      <c r="Q219" s="5"/>
      <c r="R219" s="5"/>
      <c r="S219" s="5"/>
      <c r="T219" s="16" t="str">
        <f>IF(F219="",E219,F219)</f>
        <v>VQ366A</v>
      </c>
      <c r="U219" s="16" t="str">
        <f>H219&amp;I219</f>
        <v>岚湖丰泽3号私募证券投资基金A类</v>
      </c>
      <c r="V219" s="17">
        <f>IF(O219="",N219,O219)</f>
        <v>45891</v>
      </c>
    </row>
    <row r="220" spans="1:22" ht="15" customHeight="1" x14ac:dyDescent="0.15">
      <c r="A220" s="5" t="s">
        <v>1248</v>
      </c>
      <c r="B220" s="5"/>
      <c r="C220" s="5" t="s">
        <v>505</v>
      </c>
      <c r="D220" s="5" t="s">
        <v>506</v>
      </c>
      <c r="E220" s="5" t="s">
        <v>1275</v>
      </c>
      <c r="F220" s="5" t="s">
        <v>1276</v>
      </c>
      <c r="G220" s="5"/>
      <c r="H220" s="5" t="s">
        <v>1277</v>
      </c>
      <c r="I220" s="5" t="s">
        <v>47</v>
      </c>
      <c r="J220" s="5" t="s">
        <v>1278</v>
      </c>
      <c r="K220" s="5" t="s">
        <v>1279</v>
      </c>
      <c r="L220" s="5"/>
      <c r="M220" s="5" t="s">
        <v>78</v>
      </c>
      <c r="N220" s="9">
        <v>44845</v>
      </c>
      <c r="O220" s="9">
        <v>45247</v>
      </c>
      <c r="P220" s="10"/>
      <c r="Q220" s="5"/>
      <c r="R220" s="5"/>
      <c r="S220" s="5"/>
      <c r="T220" s="16" t="str">
        <f>IF(F220="",E220,F220)</f>
        <v>VR408A</v>
      </c>
      <c r="U220" s="16" t="str">
        <f>H220&amp;I220</f>
        <v>深高稳进8号私募证券投资基金A类</v>
      </c>
      <c r="V220" s="17">
        <f>IF(O220="",N220,O220)</f>
        <v>45247</v>
      </c>
    </row>
    <row r="221" spans="1:22" ht="15" customHeight="1" x14ac:dyDescent="0.15">
      <c r="A221" s="5" t="s">
        <v>450</v>
      </c>
      <c r="B221" s="5" t="s">
        <v>482</v>
      </c>
      <c r="C221" s="5" t="s">
        <v>27</v>
      </c>
      <c r="D221" s="5" t="s">
        <v>506</v>
      </c>
      <c r="E221" s="5" t="s">
        <v>621</v>
      </c>
      <c r="F221" s="5" t="s">
        <v>735</v>
      </c>
      <c r="G221" s="5"/>
      <c r="H221" s="5" t="s">
        <v>880</v>
      </c>
      <c r="I221" s="5" t="s">
        <v>47</v>
      </c>
      <c r="J221" s="5" t="s">
        <v>266</v>
      </c>
      <c r="K221" s="5" t="s">
        <v>267</v>
      </c>
      <c r="L221" s="5" t="s">
        <v>1090</v>
      </c>
      <c r="M221" s="5" t="s">
        <v>400</v>
      </c>
      <c r="N221" s="9">
        <v>45716</v>
      </c>
      <c r="O221" s="9" t="s">
        <v>399</v>
      </c>
      <c r="P221" s="10"/>
      <c r="Q221" s="5" t="s">
        <v>1135</v>
      </c>
      <c r="R221" s="5"/>
      <c r="S221" s="5"/>
      <c r="T221" s="16" t="str">
        <f>IF(F221="",E221,F221)</f>
        <v>AUV17A</v>
      </c>
      <c r="U221" s="16" t="str">
        <f>H221&amp;I221</f>
        <v>盈怀香柏树15号私募证券投资基金A类</v>
      </c>
      <c r="V221" s="17">
        <f>IF(O221="",N221,O221)</f>
        <v>45716</v>
      </c>
    </row>
    <row r="222" spans="1:22" ht="15" customHeight="1" x14ac:dyDescent="0.15">
      <c r="A222" s="5" t="s">
        <v>15</v>
      </c>
      <c r="B222" s="5" t="s">
        <v>26</v>
      </c>
      <c r="C222" s="5" t="s">
        <v>27</v>
      </c>
      <c r="D222" s="5" t="s">
        <v>10</v>
      </c>
      <c r="E222" s="5" t="s">
        <v>622</v>
      </c>
      <c r="F222" s="5"/>
      <c r="G222" s="5"/>
      <c r="H222" s="5" t="s">
        <v>1242</v>
      </c>
      <c r="I222" s="5"/>
      <c r="J222" s="5" t="s">
        <v>89</v>
      </c>
      <c r="K222" s="5" t="s">
        <v>1091</v>
      </c>
      <c r="L222" s="5" t="s">
        <v>90</v>
      </c>
      <c r="M222" s="5" t="s">
        <v>23</v>
      </c>
      <c r="N222" s="9">
        <v>45090</v>
      </c>
      <c r="O222" s="9"/>
      <c r="P222" s="10" t="s">
        <v>24</v>
      </c>
      <c r="Q222" s="5" t="s">
        <v>1135</v>
      </c>
      <c r="R222" s="5"/>
      <c r="S222" s="5" t="s">
        <v>88</v>
      </c>
      <c r="T222" s="16" t="str">
        <f>IF(F222="",E222,F222)</f>
        <v>S03854</v>
      </c>
      <c r="U222" s="16" t="str">
        <f>H222&amp;I222</f>
        <v>全天候新雨私募证券投资基金</v>
      </c>
      <c r="V222" s="17">
        <f>IF(O222="",N222,O222)</f>
        <v>45090</v>
      </c>
    </row>
    <row r="223" spans="1:22" ht="15" customHeight="1" x14ac:dyDescent="0.15">
      <c r="A223" s="5" t="s">
        <v>15</v>
      </c>
      <c r="B223" s="5" t="s">
        <v>26</v>
      </c>
      <c r="C223" s="5" t="s">
        <v>27</v>
      </c>
      <c r="D223" s="5" t="s">
        <v>10</v>
      </c>
      <c r="E223" s="5" t="s">
        <v>638</v>
      </c>
      <c r="F223" s="5"/>
      <c r="G223" s="5"/>
      <c r="H223" s="5" t="s">
        <v>895</v>
      </c>
      <c r="I223" s="5"/>
      <c r="J223" s="5" t="s">
        <v>1115</v>
      </c>
      <c r="K223" s="5" t="s">
        <v>1116</v>
      </c>
      <c r="L223" s="5" t="s">
        <v>1117</v>
      </c>
      <c r="M223" s="5" t="s">
        <v>23</v>
      </c>
      <c r="N223" s="9">
        <v>44183</v>
      </c>
      <c r="O223" s="9" t="s">
        <v>399</v>
      </c>
      <c r="P223" s="10" t="s">
        <v>24</v>
      </c>
      <c r="Q223" s="5" t="s">
        <v>1139</v>
      </c>
      <c r="R223" s="5" t="s">
        <v>399</v>
      </c>
      <c r="S223" s="5" t="s">
        <v>88</v>
      </c>
      <c r="T223" s="16" t="str">
        <f>IF(F223="",E223,F223)</f>
        <v>SNG851</v>
      </c>
      <c r="U223" s="16" t="str">
        <f>H223&amp;I223</f>
        <v>奇盛价值前瞻私募证券投资基金</v>
      </c>
      <c r="V223" s="17">
        <f>IF(O223="",N223,O223)</f>
        <v>44183</v>
      </c>
    </row>
    <row r="224" spans="1:22" ht="15" customHeight="1" x14ac:dyDescent="0.15">
      <c r="A224" s="5" t="s">
        <v>15</v>
      </c>
      <c r="B224" s="5" t="s">
        <v>26</v>
      </c>
      <c r="C224" s="5" t="s">
        <v>27</v>
      </c>
      <c r="D224" s="5" t="s">
        <v>506</v>
      </c>
      <c r="E224" s="5" t="s">
        <v>637</v>
      </c>
      <c r="F224" s="5" t="s">
        <v>748</v>
      </c>
      <c r="G224" s="5"/>
      <c r="H224" s="5" t="s">
        <v>1231</v>
      </c>
      <c r="I224" s="5" t="s">
        <v>47</v>
      </c>
      <c r="J224" s="5" t="s">
        <v>1115</v>
      </c>
      <c r="K224" s="5" t="s">
        <v>1116</v>
      </c>
      <c r="L224" s="5" t="s">
        <v>1117</v>
      </c>
      <c r="M224" s="5" t="s">
        <v>215</v>
      </c>
      <c r="N224" s="9">
        <v>44946</v>
      </c>
      <c r="O224" s="9" t="s">
        <v>399</v>
      </c>
      <c r="P224" s="10"/>
      <c r="Q224" s="5" t="s">
        <v>1139</v>
      </c>
      <c r="R224" s="5" t="s">
        <v>1232</v>
      </c>
      <c r="S224" s="5" t="s">
        <v>88</v>
      </c>
      <c r="T224" s="16" t="str">
        <f>IF(F224="",E224,F224)</f>
        <v>ZA303A</v>
      </c>
      <c r="U224" s="16" t="str">
        <f>H224&amp;I224</f>
        <v>奇盛价值前瞻7号私募证券投资基金A类</v>
      </c>
      <c r="V224" s="17">
        <f>IF(O224="",N224,O224)</f>
        <v>44946</v>
      </c>
    </row>
    <row r="225" spans="1:22" ht="15" customHeight="1" x14ac:dyDescent="0.15">
      <c r="A225" s="5" t="s">
        <v>15</v>
      </c>
      <c r="B225" s="5" t="s">
        <v>26</v>
      </c>
      <c r="C225" s="5" t="s">
        <v>27</v>
      </c>
      <c r="D225" s="5" t="s">
        <v>506</v>
      </c>
      <c r="E225" s="5" t="s">
        <v>637</v>
      </c>
      <c r="F225" s="5" t="s">
        <v>747</v>
      </c>
      <c r="G225" s="5"/>
      <c r="H225" s="5" t="s">
        <v>894</v>
      </c>
      <c r="I225" s="5" t="s">
        <v>82</v>
      </c>
      <c r="J225" s="5" t="s">
        <v>1115</v>
      </c>
      <c r="K225" s="5" t="s">
        <v>1116</v>
      </c>
      <c r="L225" s="5" t="s">
        <v>1117</v>
      </c>
      <c r="M225" s="5" t="s">
        <v>215</v>
      </c>
      <c r="N225" s="9">
        <v>44946</v>
      </c>
      <c r="O225" s="9">
        <v>45971</v>
      </c>
      <c r="P225" s="10"/>
      <c r="Q225" s="5" t="s">
        <v>1139</v>
      </c>
      <c r="R225" s="5" t="s">
        <v>440</v>
      </c>
      <c r="S225" s="5" t="s">
        <v>88</v>
      </c>
      <c r="T225" s="16" t="str">
        <f>IF(F225="",E225,F225)</f>
        <v>ZA303B</v>
      </c>
      <c r="U225" s="16" t="str">
        <f>H225&amp;I225</f>
        <v>奇盛价值前瞻7号私募证券投资基金B类</v>
      </c>
      <c r="V225" s="17">
        <f>IF(O225="",N225,O225)</f>
        <v>45971</v>
      </c>
    </row>
    <row r="226" spans="1:22" ht="15" customHeight="1" x14ac:dyDescent="0.15">
      <c r="A226" s="5" t="s">
        <v>15</v>
      </c>
      <c r="B226" s="5" t="s">
        <v>26</v>
      </c>
      <c r="C226" s="5" t="s">
        <v>27</v>
      </c>
      <c r="D226" s="5" t="s">
        <v>506</v>
      </c>
      <c r="E226" s="5" t="s">
        <v>640</v>
      </c>
      <c r="F226" s="5" t="s">
        <v>749</v>
      </c>
      <c r="G226" s="5"/>
      <c r="H226" s="5" t="s">
        <v>897</v>
      </c>
      <c r="I226" s="5" t="s">
        <v>809</v>
      </c>
      <c r="J226" s="5" t="s">
        <v>102</v>
      </c>
      <c r="K226" s="5" t="s">
        <v>103</v>
      </c>
      <c r="L226" s="5" t="s">
        <v>1118</v>
      </c>
      <c r="M226" s="5" t="s">
        <v>87</v>
      </c>
      <c r="N226" s="9">
        <v>44279</v>
      </c>
      <c r="O226" s="9">
        <v>45870</v>
      </c>
      <c r="P226" s="10"/>
      <c r="Q226" s="5" t="s">
        <v>1139</v>
      </c>
      <c r="R226" s="5" t="s">
        <v>1175</v>
      </c>
      <c r="S226" s="5"/>
      <c r="T226" s="16" t="str">
        <f>IF(F226="",E226,F226)</f>
        <v>QF508C</v>
      </c>
      <c r="U226" s="16" t="str">
        <f>H226&amp;I226</f>
        <v>仙人掌研究精选三号私募证券投资基金C类</v>
      </c>
      <c r="V226" s="17">
        <f>IF(O226="",N226,O226)</f>
        <v>45870</v>
      </c>
    </row>
    <row r="227" spans="1:22" ht="15" customHeight="1" x14ac:dyDescent="0.15">
      <c r="A227" s="5" t="s">
        <v>15</v>
      </c>
      <c r="B227" s="5" t="s">
        <v>26</v>
      </c>
      <c r="C227" s="5" t="s">
        <v>27</v>
      </c>
      <c r="D227" s="5" t="s">
        <v>506</v>
      </c>
      <c r="E227" s="5" t="s">
        <v>28</v>
      </c>
      <c r="F227" s="5"/>
      <c r="G227" s="5"/>
      <c r="H227" s="5" t="s">
        <v>29</v>
      </c>
      <c r="I227" s="5"/>
      <c r="J227" s="5" t="s">
        <v>20</v>
      </c>
      <c r="K227" s="5" t="s">
        <v>21</v>
      </c>
      <c r="L227" s="5" t="s">
        <v>30</v>
      </c>
      <c r="M227" s="5" t="s">
        <v>23</v>
      </c>
      <c r="N227" s="9">
        <v>44077</v>
      </c>
      <c r="O227" s="9"/>
      <c r="P227" s="10" t="s">
        <v>24</v>
      </c>
      <c r="Q227" s="5" t="s">
        <v>25</v>
      </c>
      <c r="R227" s="5"/>
      <c r="S227" s="5"/>
      <c r="T227" s="16" t="str">
        <f>IF(F227="",E227,F227)</f>
        <v>SLU120</v>
      </c>
      <c r="U227" s="16" t="str">
        <f>H227&amp;I227</f>
        <v>中信资本中国价值成长私募证券投资基金</v>
      </c>
      <c r="V227" s="17">
        <f>IF(O227="",N227,O227)</f>
        <v>44077</v>
      </c>
    </row>
    <row r="228" spans="1:22" ht="15" customHeight="1" x14ac:dyDescent="0.15">
      <c r="A228" s="5" t="s">
        <v>15</v>
      </c>
      <c r="B228" s="5" t="s">
        <v>26</v>
      </c>
      <c r="C228" s="5" t="s">
        <v>27</v>
      </c>
      <c r="D228" s="5" t="s">
        <v>10</v>
      </c>
      <c r="E228" s="5" t="s">
        <v>642</v>
      </c>
      <c r="F228" s="5"/>
      <c r="G228" s="5"/>
      <c r="H228" s="5" t="s">
        <v>899</v>
      </c>
      <c r="I228" s="5"/>
      <c r="J228" s="5" t="s">
        <v>1119</v>
      </c>
      <c r="K228" s="5" t="s">
        <v>1120</v>
      </c>
      <c r="L228" s="5" t="s">
        <v>1121</v>
      </c>
      <c r="M228" s="5" t="s">
        <v>1122</v>
      </c>
      <c r="N228" s="9">
        <v>44288</v>
      </c>
      <c r="O228" s="9"/>
      <c r="P228" s="10" t="s">
        <v>24</v>
      </c>
      <c r="Q228" s="5" t="s">
        <v>1135</v>
      </c>
      <c r="R228" s="5"/>
      <c r="S228" s="5"/>
      <c r="T228" s="16" t="str">
        <f>IF(F228="",E228,F228)</f>
        <v>SQC776</v>
      </c>
      <c r="U228" s="16" t="str">
        <f>H228&amp;I228</f>
        <v>盈舞正奇1号私募证券投资基金</v>
      </c>
      <c r="V228" s="17">
        <f>IF(O228="",N228,O228)</f>
        <v>44288</v>
      </c>
    </row>
    <row r="229" spans="1:22" ht="15" customHeight="1" x14ac:dyDescent="0.15">
      <c r="A229" s="5" t="s">
        <v>15</v>
      </c>
      <c r="B229" s="5" t="s">
        <v>26</v>
      </c>
      <c r="C229" s="5" t="s">
        <v>27</v>
      </c>
      <c r="D229" s="5" t="s">
        <v>10</v>
      </c>
      <c r="E229" s="5" t="s">
        <v>641</v>
      </c>
      <c r="F229" s="5"/>
      <c r="G229" s="5"/>
      <c r="H229" s="5" t="s">
        <v>898</v>
      </c>
      <c r="I229" s="5"/>
      <c r="J229" s="5" t="s">
        <v>102</v>
      </c>
      <c r="K229" s="5" t="s">
        <v>103</v>
      </c>
      <c r="L229" s="5" t="s">
        <v>1118</v>
      </c>
      <c r="M229" s="5" t="s">
        <v>398</v>
      </c>
      <c r="N229" s="9">
        <v>42837</v>
      </c>
      <c r="O229" s="9"/>
      <c r="P229" s="10" t="s">
        <v>24</v>
      </c>
      <c r="Q229" s="5" t="s">
        <v>1135</v>
      </c>
      <c r="R229" s="5"/>
      <c r="S229" s="5"/>
      <c r="T229" s="16" t="str">
        <f>IF(F229="",E229,F229)</f>
        <v>SS5579</v>
      </c>
      <c r="U229" s="16" t="str">
        <f>H229&amp;I229</f>
        <v xml:space="preserve">仙人掌盈沣远航一号私募证券投资基金	</v>
      </c>
      <c r="V229" s="17">
        <f>IF(O229="",N229,O229)</f>
        <v>42837</v>
      </c>
    </row>
    <row r="230" spans="1:22" ht="15" customHeight="1" x14ac:dyDescent="0.15">
      <c r="A230" s="5" t="s">
        <v>15</v>
      </c>
      <c r="B230" s="5" t="s">
        <v>26</v>
      </c>
      <c r="C230" s="5" t="s">
        <v>27</v>
      </c>
      <c r="D230" s="5" t="s">
        <v>506</v>
      </c>
      <c r="E230" s="5" t="s">
        <v>639</v>
      </c>
      <c r="F230" s="5"/>
      <c r="G230" s="5"/>
      <c r="H230" s="5" t="s">
        <v>896</v>
      </c>
      <c r="I230" s="5"/>
      <c r="J230" s="5" t="s">
        <v>102</v>
      </c>
      <c r="K230" s="5" t="s">
        <v>103</v>
      </c>
      <c r="L230" s="5" t="s">
        <v>1118</v>
      </c>
      <c r="M230" s="5" t="s">
        <v>400</v>
      </c>
      <c r="N230" s="9">
        <v>44789</v>
      </c>
      <c r="O230" s="9">
        <v>45351</v>
      </c>
      <c r="P230" s="10"/>
      <c r="Q230" s="5" t="s">
        <v>1135</v>
      </c>
      <c r="R230" s="5" t="s">
        <v>399</v>
      </c>
      <c r="S230" s="5"/>
      <c r="T230" s="16" t="str">
        <f>IF(F230="",E230,F230)</f>
        <v>STY952</v>
      </c>
      <c r="U230" s="16" t="str">
        <f>H230&amp;I230</f>
        <v>仙人掌飞扬二十一号私募证券投资基金</v>
      </c>
      <c r="V230" s="17">
        <f>IF(O230="",N230,O230)</f>
        <v>45351</v>
      </c>
    </row>
    <row r="231" spans="1:22" ht="15" customHeight="1" x14ac:dyDescent="0.15">
      <c r="A231" s="5" t="s">
        <v>15</v>
      </c>
      <c r="B231" s="5" t="s">
        <v>16</v>
      </c>
      <c r="C231" s="5" t="s">
        <v>9</v>
      </c>
      <c r="D231" s="5" t="s">
        <v>506</v>
      </c>
      <c r="E231" s="5" t="s">
        <v>633</v>
      </c>
      <c r="F231" s="5" t="s">
        <v>744</v>
      </c>
      <c r="G231" s="5"/>
      <c r="H231" s="5" t="s">
        <v>890</v>
      </c>
      <c r="I231" s="5" t="s">
        <v>82</v>
      </c>
      <c r="J231" s="5" t="s">
        <v>86</v>
      </c>
      <c r="K231" s="5" t="s">
        <v>367</v>
      </c>
      <c r="L231" s="5" t="s">
        <v>1111</v>
      </c>
      <c r="M231" s="5" t="s">
        <v>87</v>
      </c>
      <c r="N231" s="9">
        <v>45812</v>
      </c>
      <c r="O231" s="9" t="s">
        <v>399</v>
      </c>
      <c r="P231" s="10"/>
      <c r="Q231" s="5" t="s">
        <v>1139</v>
      </c>
      <c r="R231" s="5"/>
      <c r="S231" s="5"/>
      <c r="T231" s="16" t="str">
        <f>IF(F231="",E231,F231)</f>
        <v>ALZ86B</v>
      </c>
      <c r="U231" s="16" t="str">
        <f>H231&amp;I231</f>
        <v>信璞投资-金选价值M2私募证券投资基金B类</v>
      </c>
      <c r="V231" s="17">
        <f>IF(O231="",N231,O231)</f>
        <v>45812</v>
      </c>
    </row>
    <row r="232" spans="1:22" ht="15" customHeight="1" x14ac:dyDescent="0.15">
      <c r="A232" s="5" t="s">
        <v>15</v>
      </c>
      <c r="B232" s="5" t="s">
        <v>16</v>
      </c>
      <c r="C232" s="5" t="s">
        <v>9</v>
      </c>
      <c r="D232" s="5" t="s">
        <v>10</v>
      </c>
      <c r="E232" s="5" t="s">
        <v>362</v>
      </c>
      <c r="F232" s="5" t="s">
        <v>743</v>
      </c>
      <c r="G232" s="5"/>
      <c r="H232" s="5" t="s">
        <v>889</v>
      </c>
      <c r="I232" s="5" t="s">
        <v>809</v>
      </c>
      <c r="J232" s="5" t="s">
        <v>86</v>
      </c>
      <c r="K232" s="5" t="s">
        <v>367</v>
      </c>
      <c r="L232" s="5" t="s">
        <v>1111</v>
      </c>
      <c r="M232" s="5" t="s">
        <v>398</v>
      </c>
      <c r="N232" s="9">
        <v>45664</v>
      </c>
      <c r="O232" s="9"/>
      <c r="P232" s="10" t="s">
        <v>24</v>
      </c>
      <c r="Q232" s="5" t="s">
        <v>1135</v>
      </c>
      <c r="R232" s="5"/>
      <c r="S232" s="5"/>
      <c r="T232" s="16" t="str">
        <f>IF(F232="",E232,F232)</f>
        <v>ARU83C</v>
      </c>
      <c r="U232" s="16" t="str">
        <f>H232&amp;I232</f>
        <v>信璞投资-价值精英M4私募证券投资基金C类</v>
      </c>
      <c r="V232" s="17">
        <f>IF(O232="",N232,O232)</f>
        <v>45664</v>
      </c>
    </row>
    <row r="233" spans="1:22" ht="15" customHeight="1" x14ac:dyDescent="0.15">
      <c r="A233" s="5" t="s">
        <v>15</v>
      </c>
      <c r="B233" s="5" t="s">
        <v>16</v>
      </c>
      <c r="C233" s="5" t="s">
        <v>27</v>
      </c>
      <c r="D233" s="5" t="s">
        <v>10</v>
      </c>
      <c r="E233" s="5" t="s">
        <v>68</v>
      </c>
      <c r="F233" s="5" t="s">
        <v>742</v>
      </c>
      <c r="G233" s="5"/>
      <c r="H233" s="5" t="s">
        <v>69</v>
      </c>
      <c r="I233" s="5" t="s">
        <v>47</v>
      </c>
      <c r="J233" s="5" t="s">
        <v>70</v>
      </c>
      <c r="K233" s="5" t="s">
        <v>71</v>
      </c>
      <c r="L233" s="5" t="s">
        <v>1110</v>
      </c>
      <c r="M233" s="5" t="s">
        <v>23</v>
      </c>
      <c r="N233" s="9">
        <v>44042</v>
      </c>
      <c r="O233" s="9"/>
      <c r="P233" s="10" t="s">
        <v>24</v>
      </c>
      <c r="Q233" s="5" t="s">
        <v>1139</v>
      </c>
      <c r="R233" s="5"/>
      <c r="S233" s="5"/>
      <c r="T233" s="16" t="str">
        <f>IF(F233="",E233,F233)</f>
        <v>LN700A</v>
      </c>
      <c r="U233" s="16" t="str">
        <f>H233&amp;I233</f>
        <v>久铭海豚1号私募证券投资基金A类</v>
      </c>
      <c r="V233" s="17">
        <f>IF(O233="",N233,O233)</f>
        <v>44042</v>
      </c>
    </row>
    <row r="234" spans="1:22" ht="15" customHeight="1" x14ac:dyDescent="0.15">
      <c r="A234" s="5" t="s">
        <v>15</v>
      </c>
      <c r="B234" s="5" t="s">
        <v>16</v>
      </c>
      <c r="C234" s="5" t="s">
        <v>9</v>
      </c>
      <c r="D234" s="5" t="s">
        <v>10</v>
      </c>
      <c r="E234" s="5" t="s">
        <v>99</v>
      </c>
      <c r="F234" s="5"/>
      <c r="G234" s="5"/>
      <c r="H234" s="5" t="s">
        <v>100</v>
      </c>
      <c r="I234" s="5"/>
      <c r="J234" s="5" t="s">
        <v>53</v>
      </c>
      <c r="K234" s="5" t="s">
        <v>54</v>
      </c>
      <c r="L234" s="5" t="s">
        <v>55</v>
      </c>
      <c r="M234" s="5" t="s">
        <v>101</v>
      </c>
      <c r="N234" s="9">
        <v>44035</v>
      </c>
      <c r="O234" s="9"/>
      <c r="P234" s="10" t="s">
        <v>24</v>
      </c>
      <c r="Q234" s="5" t="s">
        <v>1135</v>
      </c>
      <c r="R234" s="5"/>
      <c r="S234" s="5"/>
      <c r="T234" s="16" t="str">
        <f>IF(F234="",E234,F234)</f>
        <v>SLL060</v>
      </c>
      <c r="U234" s="16" t="str">
        <f>H234&amp;I234</f>
        <v>仁桥鲲淼5期私募证券投资基金</v>
      </c>
      <c r="V234" s="17">
        <f>IF(O234="",N234,O234)</f>
        <v>44035</v>
      </c>
    </row>
    <row r="235" spans="1:22" ht="15" customHeight="1" x14ac:dyDescent="0.15">
      <c r="A235" s="5" t="s">
        <v>15</v>
      </c>
      <c r="B235" s="5" t="s">
        <v>16</v>
      </c>
      <c r="C235" s="5" t="s">
        <v>9</v>
      </c>
      <c r="D235" s="5" t="s">
        <v>10</v>
      </c>
      <c r="E235" s="5" t="s">
        <v>632</v>
      </c>
      <c r="F235" s="5"/>
      <c r="G235" s="5"/>
      <c r="H235" s="5" t="s">
        <v>1197</v>
      </c>
      <c r="I235" s="5"/>
      <c r="J235" s="5" t="s">
        <v>1108</v>
      </c>
      <c r="K235" s="5" t="s">
        <v>1109</v>
      </c>
      <c r="L235" s="5" t="s">
        <v>96</v>
      </c>
      <c r="M235" s="5" t="s">
        <v>398</v>
      </c>
      <c r="N235" s="9">
        <v>44326</v>
      </c>
      <c r="O235" s="9">
        <v>44967</v>
      </c>
      <c r="P235" s="10" t="s">
        <v>24</v>
      </c>
      <c r="Q235" s="5" t="s">
        <v>1135</v>
      </c>
      <c r="R235" s="5" t="s">
        <v>1196</v>
      </c>
      <c r="S235" s="5"/>
      <c r="T235" s="16" t="str">
        <f>IF(F235="",E235,F235)</f>
        <v>SQK316</v>
      </c>
      <c r="U235" s="16" t="str">
        <f>H235&amp;I235</f>
        <v>国源不争1号私募证券投资基金</v>
      </c>
      <c r="V235" s="17">
        <f>IF(O235="",N235,O235)</f>
        <v>44967</v>
      </c>
    </row>
    <row r="236" spans="1:22" ht="15" customHeight="1" x14ac:dyDescent="0.15">
      <c r="A236" s="5" t="s">
        <v>15</v>
      </c>
      <c r="B236" s="5" t="s">
        <v>16</v>
      </c>
      <c r="C236" s="5" t="s">
        <v>9</v>
      </c>
      <c r="D236" s="5" t="s">
        <v>10</v>
      </c>
      <c r="E236" s="5" t="s">
        <v>51</v>
      </c>
      <c r="F236" s="5"/>
      <c r="G236" s="5"/>
      <c r="H236" s="5" t="s">
        <v>52</v>
      </c>
      <c r="I236" s="5"/>
      <c r="J236" s="5" t="s">
        <v>53</v>
      </c>
      <c r="K236" s="5" t="s">
        <v>54</v>
      </c>
      <c r="L236" s="5" t="s">
        <v>55</v>
      </c>
      <c r="M236" s="5" t="s">
        <v>23</v>
      </c>
      <c r="N236" s="9">
        <v>42956</v>
      </c>
      <c r="O236" s="9"/>
      <c r="P236" s="10" t="s">
        <v>24</v>
      </c>
      <c r="Q236" s="5" t="s">
        <v>1139</v>
      </c>
      <c r="R236" s="5"/>
      <c r="S236" s="5"/>
      <c r="T236" s="16" t="str">
        <f>IF(F236="",E236,F236)</f>
        <v>SW5334</v>
      </c>
      <c r="U236" s="16" t="str">
        <f>H236&amp;I236</f>
        <v>仁桥泽源1期私募证券投资基金</v>
      </c>
      <c r="V236" s="17">
        <f>IF(O236="",N236,O236)</f>
        <v>42956</v>
      </c>
    </row>
    <row r="237" spans="1:22" ht="15" customHeight="1" x14ac:dyDescent="0.15">
      <c r="A237" s="5" t="s">
        <v>15</v>
      </c>
      <c r="B237" s="5" t="s">
        <v>16</v>
      </c>
      <c r="C237" s="5" t="s">
        <v>17</v>
      </c>
      <c r="D237" s="5" t="s">
        <v>10</v>
      </c>
      <c r="E237" s="5" t="s">
        <v>18</v>
      </c>
      <c r="F237" s="5"/>
      <c r="G237" s="5"/>
      <c r="H237" s="5" t="s">
        <v>19</v>
      </c>
      <c r="I237" s="5"/>
      <c r="J237" s="5" t="s">
        <v>20</v>
      </c>
      <c r="K237" s="5" t="s">
        <v>21</v>
      </c>
      <c r="L237" s="5" t="s">
        <v>22</v>
      </c>
      <c r="M237" s="5" t="s">
        <v>23</v>
      </c>
      <c r="N237" s="9">
        <v>43081</v>
      </c>
      <c r="O237" s="9"/>
      <c r="P237" s="10" t="s">
        <v>24</v>
      </c>
      <c r="Q237" s="5" t="s">
        <v>25</v>
      </c>
      <c r="R237" s="5"/>
      <c r="S237" s="5"/>
      <c r="T237" s="16" t="str">
        <f>IF(F237="",E237,F237)</f>
        <v>SY7305</v>
      </c>
      <c r="U237" s="16" t="str">
        <f>H237&amp;I237</f>
        <v>中信资本中国价值回报私募证券投资基金</v>
      </c>
      <c r="V237" s="17">
        <f>IF(O237="",N237,O237)</f>
        <v>43081</v>
      </c>
    </row>
    <row r="238" spans="1:22" ht="15" customHeight="1" x14ac:dyDescent="0.15">
      <c r="A238" s="5" t="s">
        <v>15</v>
      </c>
      <c r="B238" s="5" t="s">
        <v>16</v>
      </c>
      <c r="C238" s="5" t="s">
        <v>17</v>
      </c>
      <c r="D238" s="5" t="s">
        <v>10</v>
      </c>
      <c r="E238" s="5" t="s">
        <v>44</v>
      </c>
      <c r="F238" s="5" t="s">
        <v>45</v>
      </c>
      <c r="G238" s="5"/>
      <c r="H238" s="5" t="s">
        <v>46</v>
      </c>
      <c r="I238" s="5" t="s">
        <v>47</v>
      </c>
      <c r="J238" s="5" t="s">
        <v>48</v>
      </c>
      <c r="K238" s="5" t="s">
        <v>49</v>
      </c>
      <c r="L238" s="5" t="s">
        <v>50</v>
      </c>
      <c r="M238" s="5" t="s">
        <v>398</v>
      </c>
      <c r="N238" s="9">
        <v>44631</v>
      </c>
      <c r="O238" s="9"/>
      <c r="P238" s="10" t="s">
        <v>24</v>
      </c>
      <c r="Q238" s="5" t="s">
        <v>1135</v>
      </c>
      <c r="R238" s="5"/>
      <c r="S238" s="5"/>
      <c r="T238" s="16" t="str">
        <f>IF(F238="",E238,F238)</f>
        <v>VD360A</v>
      </c>
      <c r="U238" s="16" t="str">
        <f>H238&amp;I238</f>
        <v>上海高恩价值策略1号私募证券投资基金A类</v>
      </c>
      <c r="V238" s="17">
        <f>IF(O238="",N238,O238)</f>
        <v>44631</v>
      </c>
    </row>
    <row r="239" spans="1:22" ht="15" customHeight="1" x14ac:dyDescent="0.15">
      <c r="A239" s="5" t="s">
        <v>15</v>
      </c>
      <c r="B239" s="5" t="s">
        <v>31</v>
      </c>
      <c r="C239" s="5" t="s">
        <v>17</v>
      </c>
      <c r="D239" s="5" t="s">
        <v>506</v>
      </c>
      <c r="E239" s="5" t="s">
        <v>65</v>
      </c>
      <c r="F239" s="5" t="s">
        <v>739</v>
      </c>
      <c r="G239" s="5"/>
      <c r="H239" s="5" t="s">
        <v>66</v>
      </c>
      <c r="I239" s="5" t="s">
        <v>82</v>
      </c>
      <c r="J239" s="5" t="s">
        <v>61</v>
      </c>
      <c r="K239" s="5" t="s">
        <v>62</v>
      </c>
      <c r="L239" s="5" t="s">
        <v>1099</v>
      </c>
      <c r="M239" s="5" t="s">
        <v>67</v>
      </c>
      <c r="N239" s="9">
        <v>43280</v>
      </c>
      <c r="O239" s="9">
        <v>45450</v>
      </c>
      <c r="P239" s="10"/>
      <c r="Q239" s="5" t="s">
        <v>1135</v>
      </c>
      <c r="R239" s="5" t="s">
        <v>438</v>
      </c>
      <c r="S239" s="5" t="s">
        <v>502</v>
      </c>
      <c r="T239" s="16" t="str">
        <f>IF(F239="",E239,F239)</f>
        <v>ED129B</v>
      </c>
      <c r="U239" s="16" t="str">
        <f>H239&amp;I239</f>
        <v>开思港股通中国优势私募基金B类</v>
      </c>
      <c r="V239" s="17">
        <f>IF(O239="",N239,O239)</f>
        <v>45450</v>
      </c>
    </row>
    <row r="240" spans="1:22" ht="15" customHeight="1" x14ac:dyDescent="0.15">
      <c r="A240" s="5" t="s">
        <v>15</v>
      </c>
      <c r="B240" s="5" t="s">
        <v>31</v>
      </c>
      <c r="C240" s="5" t="s">
        <v>17</v>
      </c>
      <c r="D240" s="5" t="s">
        <v>10</v>
      </c>
      <c r="E240" s="5" t="s">
        <v>65</v>
      </c>
      <c r="F240" s="5"/>
      <c r="G240" s="5"/>
      <c r="H240" s="5" t="s">
        <v>66</v>
      </c>
      <c r="I240" s="5"/>
      <c r="J240" s="5" t="s">
        <v>61</v>
      </c>
      <c r="K240" s="5" t="s">
        <v>62</v>
      </c>
      <c r="L240" s="5" t="s">
        <v>1099</v>
      </c>
      <c r="M240" s="5" t="s">
        <v>67</v>
      </c>
      <c r="N240" s="9">
        <v>43280</v>
      </c>
      <c r="O240" s="9"/>
      <c r="P240" s="10" t="s">
        <v>24</v>
      </c>
      <c r="Q240" s="5" t="s">
        <v>1139</v>
      </c>
      <c r="R240" s="5"/>
      <c r="S240" s="5" t="s">
        <v>502</v>
      </c>
      <c r="T240" s="16" t="str">
        <f>IF(F240="",E240,F240)</f>
        <v>SED129</v>
      </c>
      <c r="U240" s="16" t="str">
        <f>H240&amp;I240</f>
        <v>开思港股通中国优势私募基金</v>
      </c>
      <c r="V240" s="17">
        <f>IF(O240="",N240,O240)</f>
        <v>43280</v>
      </c>
    </row>
    <row r="241" spans="1:22" ht="15" customHeight="1" x14ac:dyDescent="0.15">
      <c r="A241" s="5" t="s">
        <v>15</v>
      </c>
      <c r="B241" s="5" t="s">
        <v>31</v>
      </c>
      <c r="C241" s="5" t="s">
        <v>9</v>
      </c>
      <c r="D241" s="5" t="s">
        <v>10</v>
      </c>
      <c r="E241" s="5" t="s">
        <v>627</v>
      </c>
      <c r="F241" s="5" t="s">
        <v>737</v>
      </c>
      <c r="G241" s="5"/>
      <c r="H241" s="5" t="s">
        <v>884</v>
      </c>
      <c r="I241" s="5" t="s">
        <v>82</v>
      </c>
      <c r="J241" s="5" t="s">
        <v>972</v>
      </c>
      <c r="K241" s="5" t="s">
        <v>973</v>
      </c>
      <c r="L241" s="5"/>
      <c r="M241" s="5" t="s">
        <v>398</v>
      </c>
      <c r="N241" s="9">
        <v>45233</v>
      </c>
      <c r="O241" s="9"/>
      <c r="P241" s="10" t="s">
        <v>24</v>
      </c>
      <c r="Q241" s="5" t="s">
        <v>1135</v>
      </c>
      <c r="R241" s="5"/>
      <c r="S241" s="5" t="s">
        <v>501</v>
      </c>
      <c r="T241" s="16" t="str">
        <f>IF(F241="",E241,F241)</f>
        <v>ACZ75B</v>
      </c>
      <c r="U241" s="16" t="str">
        <f>H241&amp;I241</f>
        <v>富善投资星牛1号私募证券投资基金B类</v>
      </c>
      <c r="V241" s="17">
        <f>IF(O241="",N241,O241)</f>
        <v>45233</v>
      </c>
    </row>
    <row r="242" spans="1:22" ht="15" customHeight="1" x14ac:dyDescent="0.15">
      <c r="A242" s="5" t="s">
        <v>15</v>
      </c>
      <c r="B242" s="5" t="s">
        <v>31</v>
      </c>
      <c r="C242" s="5" t="s">
        <v>9</v>
      </c>
      <c r="D242" s="5" t="s">
        <v>506</v>
      </c>
      <c r="E242" s="5" t="s">
        <v>628</v>
      </c>
      <c r="F242" s="5" t="s">
        <v>738</v>
      </c>
      <c r="G242" s="5"/>
      <c r="H242" s="5" t="s">
        <v>885</v>
      </c>
      <c r="I242" s="5" t="s">
        <v>47</v>
      </c>
      <c r="J242" s="5" t="s">
        <v>972</v>
      </c>
      <c r="K242" s="5" t="s">
        <v>973</v>
      </c>
      <c r="L242" s="5"/>
      <c r="M242" s="5" t="s">
        <v>87</v>
      </c>
      <c r="N242" s="9">
        <v>42670</v>
      </c>
      <c r="O242" s="9">
        <v>45842</v>
      </c>
      <c r="P242" s="10" t="s">
        <v>24</v>
      </c>
      <c r="Q242" s="5" t="s">
        <v>1135</v>
      </c>
      <c r="R242" s="5"/>
      <c r="S242" s="5" t="s">
        <v>501</v>
      </c>
      <c r="T242" s="16" t="str">
        <f>IF(F242="",E242,F242)</f>
        <v>M8325A</v>
      </c>
      <c r="U242" s="16" t="str">
        <f>H242&amp;I242</f>
        <v>富善投资星牛3号私募证券投资基金A类</v>
      </c>
      <c r="V242" s="17">
        <f>IF(O242="",N242,O242)</f>
        <v>45842</v>
      </c>
    </row>
    <row r="243" spans="1:22" ht="15" customHeight="1" x14ac:dyDescent="0.15">
      <c r="A243" s="5" t="s">
        <v>15</v>
      </c>
      <c r="B243" s="5" t="s">
        <v>31</v>
      </c>
      <c r="C243" s="5" t="s">
        <v>17</v>
      </c>
      <c r="D243" s="5" t="s">
        <v>10</v>
      </c>
      <c r="E243" s="5" t="s">
        <v>79</v>
      </c>
      <c r="F243" s="5" t="s">
        <v>80</v>
      </c>
      <c r="G243" s="5"/>
      <c r="H243" s="5" t="s">
        <v>81</v>
      </c>
      <c r="I243" s="5" t="s">
        <v>82</v>
      </c>
      <c r="J243" s="5" t="s">
        <v>83</v>
      </c>
      <c r="K243" s="5" t="s">
        <v>84</v>
      </c>
      <c r="L243" s="5" t="s">
        <v>85</v>
      </c>
      <c r="M243" s="5" t="s">
        <v>398</v>
      </c>
      <c r="N243" s="9">
        <v>45148</v>
      </c>
      <c r="O243" s="9"/>
      <c r="P243" s="10" t="s">
        <v>24</v>
      </c>
      <c r="Q243" s="5" t="s">
        <v>1135</v>
      </c>
      <c r="R243" s="5"/>
      <c r="S243" s="5"/>
      <c r="T243" s="16" t="str">
        <f>IF(F243="",E243,F243)</f>
        <v>B6776B</v>
      </c>
      <c r="U243" s="16" t="str">
        <f>H243&amp;I243</f>
        <v>容光蕴诚私募证券投资基金B类</v>
      </c>
      <c r="V243" s="17">
        <f>IF(O243="",N243,O243)</f>
        <v>45148</v>
      </c>
    </row>
    <row r="244" spans="1:22" ht="15" customHeight="1" x14ac:dyDescent="0.15">
      <c r="A244" s="5" t="s">
        <v>15</v>
      </c>
      <c r="B244" s="5" t="s">
        <v>31</v>
      </c>
      <c r="C244" s="5" t="s">
        <v>27</v>
      </c>
      <c r="D244" s="5" t="s">
        <v>10</v>
      </c>
      <c r="E244" s="5" t="s">
        <v>629</v>
      </c>
      <c r="F244" s="5"/>
      <c r="G244" s="5"/>
      <c r="H244" s="5" t="s">
        <v>886</v>
      </c>
      <c r="I244" s="5"/>
      <c r="J244" s="5" t="s">
        <v>1100</v>
      </c>
      <c r="K244" s="5" t="s">
        <v>1101</v>
      </c>
      <c r="L244" s="5" t="s">
        <v>1102</v>
      </c>
      <c r="M244" s="5" t="s">
        <v>1103</v>
      </c>
      <c r="N244" s="9">
        <v>42220</v>
      </c>
      <c r="O244" s="9" t="s">
        <v>399</v>
      </c>
      <c r="P244" s="10"/>
      <c r="Q244" s="5" t="s">
        <v>1135</v>
      </c>
      <c r="R244" s="5" t="s">
        <v>1176</v>
      </c>
      <c r="S244" s="5"/>
      <c r="T244" s="16" t="str">
        <f>IF(F244="",E244,F244)</f>
        <v>S63961</v>
      </c>
      <c r="U244" s="16" t="str">
        <f>H244&amp;I244</f>
        <v>龙全2号私募投资基金</v>
      </c>
      <c r="V244" s="17">
        <f>IF(O244="",N244,O244)</f>
        <v>42220</v>
      </c>
    </row>
    <row r="245" spans="1:22" ht="15" customHeight="1" x14ac:dyDescent="0.15">
      <c r="A245" s="5" t="s">
        <v>15</v>
      </c>
      <c r="B245" s="5" t="s">
        <v>31</v>
      </c>
      <c r="C245" s="5" t="s">
        <v>17</v>
      </c>
      <c r="D245" s="5" t="s">
        <v>10</v>
      </c>
      <c r="E245" s="5" t="s">
        <v>32</v>
      </c>
      <c r="F245" s="5"/>
      <c r="G245" s="5"/>
      <c r="H245" s="5" t="s">
        <v>33</v>
      </c>
      <c r="I245" s="5"/>
      <c r="J245" s="5" t="s">
        <v>34</v>
      </c>
      <c r="K245" s="5" t="s">
        <v>35</v>
      </c>
      <c r="L245" s="5" t="s">
        <v>1107</v>
      </c>
      <c r="M245" s="5" t="s">
        <v>23</v>
      </c>
      <c r="N245" s="9">
        <v>42509</v>
      </c>
      <c r="O245" s="9"/>
      <c r="P245" s="10" t="s">
        <v>24</v>
      </c>
      <c r="Q245" s="5" t="s">
        <v>25</v>
      </c>
      <c r="R245" s="5"/>
      <c r="S245" s="5"/>
      <c r="T245" s="16" t="str">
        <f>IF(F245="",E245,F245)</f>
        <v>SD7190</v>
      </c>
      <c r="U245" s="16" t="str">
        <f>H245&amp;I245</f>
        <v>裕恒资本双龙一号私募证券投资基金</v>
      </c>
      <c r="V245" s="17">
        <f>IF(O245="",N245,O245)</f>
        <v>42509</v>
      </c>
    </row>
    <row r="246" spans="1:22" ht="15" customHeight="1" x14ac:dyDescent="0.15">
      <c r="A246" s="5" t="s">
        <v>15</v>
      </c>
      <c r="B246" s="5" t="s">
        <v>31</v>
      </c>
      <c r="C246" s="5" t="s">
        <v>17</v>
      </c>
      <c r="D246" s="5" t="s">
        <v>506</v>
      </c>
      <c r="E246" s="5" t="s">
        <v>1191</v>
      </c>
      <c r="F246" s="5"/>
      <c r="G246" s="5"/>
      <c r="H246" s="5" t="s">
        <v>1190</v>
      </c>
      <c r="I246" s="5"/>
      <c r="J246" s="5" t="s">
        <v>61</v>
      </c>
      <c r="K246" s="5" t="s">
        <v>62</v>
      </c>
      <c r="L246" s="5" t="s">
        <v>63</v>
      </c>
      <c r="M246" s="5" t="s">
        <v>64</v>
      </c>
      <c r="N246" s="9">
        <v>44047</v>
      </c>
      <c r="O246" s="9"/>
      <c r="P246" s="10" t="s">
        <v>24</v>
      </c>
      <c r="Q246" s="5" t="s">
        <v>1139</v>
      </c>
      <c r="R246" s="5"/>
      <c r="S246" s="5"/>
      <c r="T246" s="16" t="str">
        <f>IF(F246="",E246,F246)</f>
        <v>SLP048</v>
      </c>
      <c r="U246" s="16" t="str">
        <f>H246&amp;I246</f>
        <v>开思沪港深优选私募证券投资基金</v>
      </c>
      <c r="V246" s="17">
        <f>IF(O246="",N246,O246)</f>
        <v>44047</v>
      </c>
    </row>
    <row r="247" spans="1:22" ht="15" customHeight="1" x14ac:dyDescent="0.15">
      <c r="A247" s="5" t="s">
        <v>15</v>
      </c>
      <c r="B247" s="5" t="s">
        <v>31</v>
      </c>
      <c r="C247" s="5" t="s">
        <v>27</v>
      </c>
      <c r="D247" s="5" t="s">
        <v>506</v>
      </c>
      <c r="E247" s="5" t="s">
        <v>630</v>
      </c>
      <c r="F247" s="5"/>
      <c r="G247" s="5"/>
      <c r="H247" s="5" t="s">
        <v>887</v>
      </c>
      <c r="I247" s="5"/>
      <c r="J247" s="5" t="s">
        <v>1100</v>
      </c>
      <c r="K247" s="5" t="s">
        <v>1101</v>
      </c>
      <c r="L247" s="5" t="s">
        <v>1102</v>
      </c>
      <c r="M247" s="5" t="s">
        <v>400</v>
      </c>
      <c r="N247" s="9">
        <v>44236</v>
      </c>
      <c r="O247" s="9" t="s">
        <v>399</v>
      </c>
      <c r="P247" s="10"/>
      <c r="Q247" s="5" t="s">
        <v>1135</v>
      </c>
      <c r="R247" s="5"/>
      <c r="S247" s="5"/>
      <c r="T247" s="16" t="str">
        <f>IF(F247="",E247,F247)</f>
        <v>SNW198</v>
      </c>
      <c r="U247" s="16" t="str">
        <f>H247&amp;I247</f>
        <v>龙全千里马之赤兔私募证券投资基金</v>
      </c>
      <c r="V247" s="17">
        <f>IF(O247="",N247,O247)</f>
        <v>44236</v>
      </c>
    </row>
    <row r="248" spans="1:22" ht="15" customHeight="1" x14ac:dyDescent="0.15">
      <c r="A248" s="5" t="s">
        <v>15</v>
      </c>
      <c r="B248" s="5" t="s">
        <v>31</v>
      </c>
      <c r="C248" s="5" t="s">
        <v>17</v>
      </c>
      <c r="D248" s="5" t="s">
        <v>506</v>
      </c>
      <c r="E248" s="5" t="s">
        <v>97</v>
      </c>
      <c r="F248" s="5"/>
      <c r="G248" s="5"/>
      <c r="H248" s="5" t="s">
        <v>98</v>
      </c>
      <c r="I248" s="5"/>
      <c r="J248" s="5" t="s">
        <v>34</v>
      </c>
      <c r="K248" s="5" t="s">
        <v>35</v>
      </c>
      <c r="L248" s="5" t="s">
        <v>1107</v>
      </c>
      <c r="M248" s="5" t="s">
        <v>398</v>
      </c>
      <c r="N248" s="9">
        <v>44672</v>
      </c>
      <c r="O248" s="9"/>
      <c r="P248" s="10" t="s">
        <v>24</v>
      </c>
      <c r="Q248" s="5" t="s">
        <v>1135</v>
      </c>
      <c r="R248" s="5"/>
      <c r="S248" s="5"/>
      <c r="T248" s="16" t="str">
        <f>IF(F248="",E248,F248)</f>
        <v>SVM022</v>
      </c>
      <c r="U248" s="16" t="str">
        <f>H248&amp;I248</f>
        <v>裕恒资本双龙6号私募证券投资基金</v>
      </c>
      <c r="V248" s="17">
        <f>IF(O248="",N248,O248)</f>
        <v>44672</v>
      </c>
    </row>
    <row r="249" spans="1:22" ht="15" customHeight="1" x14ac:dyDescent="0.15">
      <c r="A249" s="5" t="s">
        <v>15</v>
      </c>
      <c r="B249" s="5" t="s">
        <v>31</v>
      </c>
      <c r="C249" s="5" t="s">
        <v>17</v>
      </c>
      <c r="D249" s="5" t="s">
        <v>10</v>
      </c>
      <c r="E249" s="5" t="s">
        <v>56</v>
      </c>
      <c r="F249" s="5"/>
      <c r="G249" s="5" t="s">
        <v>56</v>
      </c>
      <c r="H249" s="5" t="s">
        <v>57</v>
      </c>
      <c r="I249" s="5"/>
      <c r="J249" s="5" t="s">
        <v>58</v>
      </c>
      <c r="K249" s="5" t="s">
        <v>59</v>
      </c>
      <c r="L249" s="5" t="s">
        <v>60</v>
      </c>
      <c r="M249" s="5" t="s">
        <v>398</v>
      </c>
      <c r="N249" s="9">
        <v>43088</v>
      </c>
      <c r="O249" s="9"/>
      <c r="P249" s="10" t="s">
        <v>24</v>
      </c>
      <c r="Q249" s="5" t="s">
        <v>1139</v>
      </c>
      <c r="R249" s="5"/>
      <c r="S249" s="5"/>
      <c r="T249" s="16" t="str">
        <f>IF(F249="",E249,F249)</f>
        <v>SX9002</v>
      </c>
      <c r="U249" s="16" t="str">
        <f>H249&amp;I249</f>
        <v>毗陵青果私募证券投资基金</v>
      </c>
      <c r="V249" s="17">
        <f>IF(O249="",N249,O249)</f>
        <v>43088</v>
      </c>
    </row>
    <row r="250" spans="1:22" ht="15" customHeight="1" x14ac:dyDescent="0.15">
      <c r="A250" s="5" t="s">
        <v>15</v>
      </c>
      <c r="B250" s="5" t="s">
        <v>31</v>
      </c>
      <c r="C250" s="5" t="s">
        <v>17</v>
      </c>
      <c r="D250" s="5" t="s">
        <v>506</v>
      </c>
      <c r="E250" s="5" t="s">
        <v>104</v>
      </c>
      <c r="F250" s="5"/>
      <c r="G250" s="5"/>
      <c r="H250" s="5" t="s">
        <v>105</v>
      </c>
      <c r="I250" s="5"/>
      <c r="J250" s="5" t="s">
        <v>58</v>
      </c>
      <c r="K250" s="5" t="s">
        <v>59</v>
      </c>
      <c r="L250" s="5"/>
      <c r="M250" s="5" t="s">
        <v>106</v>
      </c>
      <c r="N250" s="9">
        <v>44970</v>
      </c>
      <c r="O250" s="9"/>
      <c r="P250" s="10" t="s">
        <v>24</v>
      </c>
      <c r="Q250" s="5" t="s">
        <v>1135</v>
      </c>
      <c r="R250" s="5"/>
      <c r="S250" s="5"/>
      <c r="T250" s="16" t="str">
        <f>IF(F250="",E250,F250)</f>
        <v>SXW964</v>
      </c>
      <c r="U250" s="16" t="str">
        <f>H250&amp;I250</f>
        <v>毗陵鸣珂私募证券投资基金</v>
      </c>
      <c r="V250" s="17">
        <f>IF(O250="",N250,O250)</f>
        <v>44970</v>
      </c>
    </row>
    <row r="251" spans="1:22" ht="15" customHeight="1" x14ac:dyDescent="0.15">
      <c r="A251" s="5" t="s">
        <v>15</v>
      </c>
      <c r="B251" s="5" t="s">
        <v>31</v>
      </c>
      <c r="C251" s="5" t="s">
        <v>17</v>
      </c>
      <c r="D251" s="5" t="s">
        <v>506</v>
      </c>
      <c r="E251" s="5" t="s">
        <v>631</v>
      </c>
      <c r="F251" s="5" t="s">
        <v>741</v>
      </c>
      <c r="G251" s="5"/>
      <c r="H251" s="5" t="s">
        <v>888</v>
      </c>
      <c r="I251" s="5" t="s">
        <v>82</v>
      </c>
      <c r="J251" s="5" t="s">
        <v>1104</v>
      </c>
      <c r="K251" s="5" t="s">
        <v>1105</v>
      </c>
      <c r="L251" s="5" t="s">
        <v>1106</v>
      </c>
      <c r="M251" s="5" t="s">
        <v>23</v>
      </c>
      <c r="N251" s="9">
        <v>44690</v>
      </c>
      <c r="O251" s="9">
        <v>45660</v>
      </c>
      <c r="P251" s="10"/>
      <c r="Q251" s="5" t="s">
        <v>1139</v>
      </c>
      <c r="R251" s="5" t="s">
        <v>441</v>
      </c>
      <c r="S251" s="5"/>
      <c r="T251" s="16" t="str">
        <f>IF(F251="",E251,F251)</f>
        <v>VP271B</v>
      </c>
      <c r="U251" s="16" t="str">
        <f>H251&amp;I251</f>
        <v>睿郡有孚2号私募证券投资基金B类</v>
      </c>
      <c r="V251" s="17">
        <f>IF(O251="",N251,O251)</f>
        <v>45660</v>
      </c>
    </row>
    <row r="252" spans="1:22" ht="15" customHeight="1" x14ac:dyDescent="0.15">
      <c r="A252" s="5" t="s">
        <v>15</v>
      </c>
      <c r="B252" s="5" t="s">
        <v>31</v>
      </c>
      <c r="C252" s="5" t="s">
        <v>17</v>
      </c>
      <c r="D252" s="5" t="s">
        <v>506</v>
      </c>
      <c r="E252" s="5" t="s">
        <v>104</v>
      </c>
      <c r="F252" s="5" t="s">
        <v>740</v>
      </c>
      <c r="G252" s="5"/>
      <c r="H252" s="5" t="s">
        <v>105</v>
      </c>
      <c r="I252" s="5" t="s">
        <v>809</v>
      </c>
      <c r="J252" s="5" t="s">
        <v>58</v>
      </c>
      <c r="K252" s="5" t="s">
        <v>59</v>
      </c>
      <c r="L252" s="5" t="s">
        <v>60</v>
      </c>
      <c r="M252" s="5" t="s">
        <v>106</v>
      </c>
      <c r="N252" s="9">
        <v>44970</v>
      </c>
      <c r="O252" s="9">
        <v>45618</v>
      </c>
      <c r="P252" s="10"/>
      <c r="Q252" s="5" t="s">
        <v>1139</v>
      </c>
      <c r="R252" s="5" t="s">
        <v>439</v>
      </c>
      <c r="S252" s="5"/>
      <c r="T252" s="16" t="str">
        <f>IF(F252="",E252,F252)</f>
        <v>XW964C</v>
      </c>
      <c r="U252" s="16" t="str">
        <f>H252&amp;I252</f>
        <v>毗陵鸣珂私募证券投资基金C类</v>
      </c>
      <c r="V252" s="17">
        <f>IF(O252="",N252,O252)</f>
        <v>45618</v>
      </c>
    </row>
    <row r="253" spans="1:22" ht="15" customHeight="1" x14ac:dyDescent="0.15">
      <c r="A253" s="5" t="s">
        <v>15</v>
      </c>
      <c r="B253" s="5" t="s">
        <v>483</v>
      </c>
      <c r="C253" s="5" t="s">
        <v>17</v>
      </c>
      <c r="D253" s="5" t="s">
        <v>10</v>
      </c>
      <c r="E253" s="5" t="s">
        <v>636</v>
      </c>
      <c r="F253" s="5" t="s">
        <v>746</v>
      </c>
      <c r="G253" s="5"/>
      <c r="H253" s="5" t="s">
        <v>893</v>
      </c>
      <c r="I253" s="5" t="s">
        <v>47</v>
      </c>
      <c r="J253" s="5" t="s">
        <v>328</v>
      </c>
      <c r="K253" s="5" t="s">
        <v>329</v>
      </c>
      <c r="L253" s="5" t="s">
        <v>330</v>
      </c>
      <c r="M253" s="5" t="s">
        <v>398</v>
      </c>
      <c r="N253" s="9">
        <v>45876</v>
      </c>
      <c r="O253" s="9"/>
      <c r="P253" s="10" t="s">
        <v>24</v>
      </c>
      <c r="Q253" s="5" t="s">
        <v>1135</v>
      </c>
      <c r="R253" s="5"/>
      <c r="S253" s="5" t="s">
        <v>503</v>
      </c>
      <c r="T253" s="16" t="str">
        <f>IF(F253="",E253,F253)</f>
        <v>BDC67A</v>
      </c>
      <c r="U253" s="16" t="str">
        <f>H253&amp;I253</f>
        <v>创世纪顾锝灵活多策略1号私募证券投资基金A类</v>
      </c>
      <c r="V253" s="17">
        <f>IF(O253="",N253,O253)</f>
        <v>45876</v>
      </c>
    </row>
    <row r="254" spans="1:22" ht="15" customHeight="1" x14ac:dyDescent="0.15">
      <c r="A254" s="5" t="s">
        <v>15</v>
      </c>
      <c r="B254" s="5" t="s">
        <v>483</v>
      </c>
      <c r="C254" s="5" t="s">
        <v>17</v>
      </c>
      <c r="D254" s="5" t="s">
        <v>10</v>
      </c>
      <c r="E254" s="5" t="s">
        <v>91</v>
      </c>
      <c r="F254" s="5"/>
      <c r="G254" s="5"/>
      <c r="H254" s="5" t="s">
        <v>92</v>
      </c>
      <c r="I254" s="5"/>
      <c r="J254" s="5" t="s">
        <v>93</v>
      </c>
      <c r="K254" s="5" t="s">
        <v>94</v>
      </c>
      <c r="L254" s="5" t="s">
        <v>95</v>
      </c>
      <c r="M254" s="5" t="s">
        <v>23</v>
      </c>
      <c r="N254" s="9">
        <v>45174</v>
      </c>
      <c r="O254" s="9">
        <v>45657</v>
      </c>
      <c r="P254" s="10" t="s">
        <v>24</v>
      </c>
      <c r="Q254" s="5" t="s">
        <v>1135</v>
      </c>
      <c r="R254" s="5"/>
      <c r="S254" s="5" t="s">
        <v>503</v>
      </c>
      <c r="T254" s="16" t="str">
        <f>IF(F254="",E254,F254)</f>
        <v>SAAM49</v>
      </c>
      <c r="U254" s="16" t="str">
        <f>H254&amp;I254</f>
        <v>沁鸿臻选私募证券投资基金</v>
      </c>
      <c r="V254" s="17">
        <f>IF(O254="",N254,O254)</f>
        <v>45657</v>
      </c>
    </row>
    <row r="255" spans="1:22" ht="15" customHeight="1" x14ac:dyDescent="0.15">
      <c r="A255" s="5" t="s">
        <v>15</v>
      </c>
      <c r="B255" s="5" t="s">
        <v>483</v>
      </c>
      <c r="C255" s="5" t="s">
        <v>27</v>
      </c>
      <c r="D255" s="5" t="s">
        <v>10</v>
      </c>
      <c r="E255" s="5" t="s">
        <v>634</v>
      </c>
      <c r="F255" s="5"/>
      <c r="G255" s="5"/>
      <c r="H255" s="5" t="s">
        <v>891</v>
      </c>
      <c r="I255" s="5"/>
      <c r="J255" s="5" t="s">
        <v>1112</v>
      </c>
      <c r="K255" s="5" t="s">
        <v>1113</v>
      </c>
      <c r="L255" s="5" t="s">
        <v>1114</v>
      </c>
      <c r="M255" s="5" t="s">
        <v>87</v>
      </c>
      <c r="N255" s="9">
        <v>44390</v>
      </c>
      <c r="O255" s="9" t="s">
        <v>399</v>
      </c>
      <c r="P255" s="10"/>
      <c r="Q255" s="5" t="s">
        <v>1139</v>
      </c>
      <c r="R255" s="5" t="s">
        <v>1200</v>
      </c>
      <c r="S255" s="5" t="s">
        <v>503</v>
      </c>
      <c r="T255" s="16" t="str">
        <f>IF(F255="",E255,F255)</f>
        <v>SSA386</v>
      </c>
      <c r="U255" s="16" t="str">
        <f>H255&amp;I255</f>
        <v>通怡股票低波择时1号私募证券投资基金</v>
      </c>
      <c r="V255" s="17">
        <f>IF(O255="",N255,O255)</f>
        <v>44390</v>
      </c>
    </row>
    <row r="256" spans="1:22" ht="15" customHeight="1" x14ac:dyDescent="0.15">
      <c r="A256" s="5" t="s">
        <v>15</v>
      </c>
      <c r="B256" s="5" t="s">
        <v>483</v>
      </c>
      <c r="C256" s="5" t="s">
        <v>17</v>
      </c>
      <c r="D256" s="5" t="s">
        <v>10</v>
      </c>
      <c r="E256" s="5" t="s">
        <v>635</v>
      </c>
      <c r="F256" s="5"/>
      <c r="G256" s="5"/>
      <c r="H256" s="5" t="s">
        <v>892</v>
      </c>
      <c r="I256" s="5"/>
      <c r="J256" s="5" t="s">
        <v>93</v>
      </c>
      <c r="K256" s="5" t="s">
        <v>914</v>
      </c>
      <c r="L256" s="5"/>
      <c r="M256" s="5" t="s">
        <v>400</v>
      </c>
      <c r="N256" s="9">
        <v>44557</v>
      </c>
      <c r="O256" s="9">
        <v>45877</v>
      </c>
      <c r="P256" s="10" t="s">
        <v>24</v>
      </c>
      <c r="Q256" s="5" t="s">
        <v>1139</v>
      </c>
      <c r="R256" s="5" t="s">
        <v>1205</v>
      </c>
      <c r="S256" s="5" t="s">
        <v>503</v>
      </c>
      <c r="T256" s="16" t="str">
        <f>IF(F256="",E256,F256)</f>
        <v>STJ864</v>
      </c>
      <c r="U256" s="16" t="str">
        <f>H256&amp;I256</f>
        <v>臻选真男人私募证券投资基金</v>
      </c>
      <c r="V256" s="17">
        <f>IF(O256="",N256,O256)</f>
        <v>45877</v>
      </c>
    </row>
    <row r="257" spans="1:22" ht="15" customHeight="1" x14ac:dyDescent="0.15">
      <c r="A257" s="5" t="s">
        <v>15</v>
      </c>
      <c r="B257" s="5" t="s">
        <v>483</v>
      </c>
      <c r="C257" s="5" t="s">
        <v>17</v>
      </c>
      <c r="D257" s="5" t="s">
        <v>506</v>
      </c>
      <c r="E257" s="5" t="s">
        <v>635</v>
      </c>
      <c r="F257" s="5" t="s">
        <v>745</v>
      </c>
      <c r="G257" s="5"/>
      <c r="H257" s="5" t="s">
        <v>892</v>
      </c>
      <c r="I257" s="5" t="s">
        <v>82</v>
      </c>
      <c r="J257" s="5" t="s">
        <v>93</v>
      </c>
      <c r="K257" s="5" t="s">
        <v>914</v>
      </c>
      <c r="L257" s="5" t="s">
        <v>95</v>
      </c>
      <c r="M257" s="5" t="s">
        <v>400</v>
      </c>
      <c r="N257" s="9">
        <v>44557</v>
      </c>
      <c r="O257" s="9">
        <v>45877</v>
      </c>
      <c r="P257" s="10"/>
      <c r="Q257" s="5" t="s">
        <v>1139</v>
      </c>
      <c r="R257" s="5" t="s">
        <v>1205</v>
      </c>
      <c r="S257" s="5" t="s">
        <v>503</v>
      </c>
      <c r="T257" s="16" t="str">
        <f>IF(F257="",E257,F257)</f>
        <v>TJ864B</v>
      </c>
      <c r="U257" s="16" t="str">
        <f>H257&amp;I257</f>
        <v>臻选真男人私募证券投资基金B类</v>
      </c>
      <c r="V257" s="17">
        <f>IF(O257="",N257,O257)</f>
        <v>45877</v>
      </c>
    </row>
    <row r="258" spans="1:22" ht="15" customHeight="1" x14ac:dyDescent="0.15">
      <c r="A258" s="5" t="s">
        <v>15</v>
      </c>
      <c r="B258" s="5" t="s">
        <v>483</v>
      </c>
      <c r="C258" s="5" t="s">
        <v>27</v>
      </c>
      <c r="D258" s="5" t="s">
        <v>506</v>
      </c>
      <c r="E258" s="5" t="s">
        <v>626</v>
      </c>
      <c r="F258" s="5"/>
      <c r="G258" s="5"/>
      <c r="H258" s="5" t="s">
        <v>883</v>
      </c>
      <c r="I258" s="5"/>
      <c r="J258" s="5" t="s">
        <v>93</v>
      </c>
      <c r="K258" s="5" t="s">
        <v>914</v>
      </c>
      <c r="L258" s="5" t="s">
        <v>95</v>
      </c>
      <c r="M258" s="5" t="s">
        <v>400</v>
      </c>
      <c r="N258" s="9">
        <v>44755</v>
      </c>
      <c r="O258" s="9">
        <v>45348</v>
      </c>
      <c r="P258" s="10"/>
      <c r="Q258" s="5" t="s">
        <v>1139</v>
      </c>
      <c r="R258" s="5" t="s">
        <v>1209</v>
      </c>
      <c r="S258" s="5" t="s">
        <v>500</v>
      </c>
      <c r="T258" s="16" t="str">
        <f>IF(F258="",E258,F258)</f>
        <v>SVT405</v>
      </c>
      <c r="U258" s="16" t="str">
        <f>H258&amp;I258</f>
        <v>臻选不一私募证券投资基金</v>
      </c>
      <c r="V258" s="17">
        <f>IF(O258="",N258,O258)</f>
        <v>45348</v>
      </c>
    </row>
    <row r="259" spans="1:22" ht="15" customHeight="1" x14ac:dyDescent="0.15">
      <c r="A259" s="5" t="s">
        <v>15</v>
      </c>
      <c r="B259" s="5" t="s">
        <v>483</v>
      </c>
      <c r="C259" s="5" t="s">
        <v>27</v>
      </c>
      <c r="D259" s="5" t="s">
        <v>507</v>
      </c>
      <c r="E259" s="5" t="s">
        <v>625</v>
      </c>
      <c r="F259" s="5"/>
      <c r="G259" s="5"/>
      <c r="H259" s="5" t="s">
        <v>1206</v>
      </c>
      <c r="I259" s="5"/>
      <c r="J259" s="5" t="s">
        <v>1096</v>
      </c>
      <c r="K259" s="5" t="s">
        <v>1097</v>
      </c>
      <c r="L259" s="5" t="s">
        <v>1098</v>
      </c>
      <c r="M259" s="5" t="s">
        <v>400</v>
      </c>
      <c r="N259" s="9">
        <v>44581</v>
      </c>
      <c r="O259" s="9">
        <v>45604</v>
      </c>
      <c r="P259" s="10"/>
      <c r="Q259" s="5" t="s">
        <v>1139</v>
      </c>
      <c r="R259" s="5" t="s">
        <v>1207</v>
      </c>
      <c r="S259" s="5"/>
      <c r="T259" s="16" t="str">
        <f>IF(F259="",E259,F259)</f>
        <v>STS742</v>
      </c>
      <c r="U259" s="16" t="str">
        <f>H259&amp;I259</f>
        <v>兆天七彩云1号私募证券投资基金</v>
      </c>
      <c r="V259" s="17">
        <f>IF(O259="",N259,O259)</f>
        <v>45604</v>
      </c>
    </row>
    <row r="260" spans="1:22" ht="15" customHeight="1" x14ac:dyDescent="0.15">
      <c r="A260" s="5" t="s">
        <v>15</v>
      </c>
      <c r="B260" s="5" t="s">
        <v>483</v>
      </c>
      <c r="C260" s="5" t="s">
        <v>17</v>
      </c>
      <c r="D260" s="5" t="s">
        <v>10</v>
      </c>
      <c r="E260" s="5" t="s">
        <v>36</v>
      </c>
      <c r="F260" s="5"/>
      <c r="G260" s="5" t="s">
        <v>37</v>
      </c>
      <c r="H260" s="5" t="s">
        <v>38</v>
      </c>
      <c r="I260" s="5"/>
      <c r="J260" s="5" t="s">
        <v>39</v>
      </c>
      <c r="K260" s="5" t="s">
        <v>40</v>
      </c>
      <c r="L260" s="5" t="s">
        <v>41</v>
      </c>
      <c r="M260" s="5" t="s">
        <v>42</v>
      </c>
      <c r="N260" s="9">
        <v>43083</v>
      </c>
      <c r="O260" s="9"/>
      <c r="P260" s="10" t="s">
        <v>24</v>
      </c>
      <c r="Q260" s="5" t="s">
        <v>43</v>
      </c>
      <c r="R260" s="5"/>
      <c r="S260" s="5"/>
      <c r="T260" s="16" t="str">
        <f>IF(F260="",E260,F260)</f>
        <v>SY6829</v>
      </c>
      <c r="U260" s="16" t="str">
        <f>H260&amp;I260</f>
        <v>翔云50量化私募投资基金</v>
      </c>
      <c r="V260" s="17">
        <f>IF(O260="",N260,O260)</f>
        <v>43083</v>
      </c>
    </row>
    <row r="261" spans="1:22" ht="15" customHeight="1" x14ac:dyDescent="0.15">
      <c r="A261" s="5" t="s">
        <v>15</v>
      </c>
      <c r="B261" s="5" t="s">
        <v>470</v>
      </c>
      <c r="C261" s="5" t="s">
        <v>17</v>
      </c>
      <c r="D261" s="5" t="s">
        <v>10</v>
      </c>
      <c r="E261" s="5" t="s">
        <v>73</v>
      </c>
      <c r="F261" s="5"/>
      <c r="G261" s="5"/>
      <c r="H261" s="5" t="s">
        <v>74</v>
      </c>
      <c r="I261" s="5"/>
      <c r="J261" s="5" t="s">
        <v>75</v>
      </c>
      <c r="K261" s="5" t="s">
        <v>76</v>
      </c>
      <c r="L261" s="5" t="s">
        <v>77</v>
      </c>
      <c r="M261" s="5" t="s">
        <v>78</v>
      </c>
      <c r="N261" s="9">
        <v>43915</v>
      </c>
      <c r="O261" s="9"/>
      <c r="P261" s="10" t="s">
        <v>24</v>
      </c>
      <c r="Q261" s="5" t="s">
        <v>25</v>
      </c>
      <c r="R261" s="5"/>
      <c r="S261" s="5" t="s">
        <v>72</v>
      </c>
      <c r="T261" s="16" t="str">
        <f>IF(F261="",E261,F261)</f>
        <v>SJQ197</v>
      </c>
      <c r="U261" s="16" t="str">
        <f>H261&amp;I261</f>
        <v>佳岳-实投1号私募证券投资基金</v>
      </c>
      <c r="V261" s="17">
        <f>IF(O261="",N261,O261)</f>
        <v>43915</v>
      </c>
    </row>
    <row r="262" spans="1:22" ht="15" customHeight="1" x14ac:dyDescent="0.15">
      <c r="A262" s="5" t="s">
        <v>15</v>
      </c>
      <c r="B262" s="5" t="s">
        <v>470</v>
      </c>
      <c r="C262" s="5" t="s">
        <v>17</v>
      </c>
      <c r="D262" s="5" t="s">
        <v>506</v>
      </c>
      <c r="E262" s="5" t="s">
        <v>623</v>
      </c>
      <c r="F262" s="5"/>
      <c r="G262" s="5"/>
      <c r="H262" s="5" t="s">
        <v>881</v>
      </c>
      <c r="I262" s="5"/>
      <c r="J262" s="5" t="s">
        <v>75</v>
      </c>
      <c r="K262" s="5" t="s">
        <v>76</v>
      </c>
      <c r="L262" s="5" t="s">
        <v>77</v>
      </c>
      <c r="M262" s="5" t="s">
        <v>1092</v>
      </c>
      <c r="N262" s="9">
        <v>44599</v>
      </c>
      <c r="O262" s="9" t="s">
        <v>399</v>
      </c>
      <c r="P262" s="10" t="s">
        <v>24</v>
      </c>
      <c r="Q262" s="5" t="s">
        <v>1135</v>
      </c>
      <c r="R262" s="5"/>
      <c r="S262" s="5" t="s">
        <v>72</v>
      </c>
      <c r="T262" s="16" t="str">
        <f>IF(F262="",E262,F262)</f>
        <v>STV351</v>
      </c>
      <c r="U262" s="16" t="str">
        <f>H262&amp;I262</f>
        <v>佳岳-实投3号私募证券投资基金</v>
      </c>
      <c r="V262" s="17">
        <f>IF(O262="",N262,O262)</f>
        <v>44599</v>
      </c>
    </row>
    <row r="263" spans="1:22" ht="15" customHeight="1" x14ac:dyDescent="0.15">
      <c r="A263" s="5" t="s">
        <v>15</v>
      </c>
      <c r="B263" s="5" t="s">
        <v>470</v>
      </c>
      <c r="C263" s="5" t="s">
        <v>27</v>
      </c>
      <c r="D263" s="5" t="s">
        <v>10</v>
      </c>
      <c r="E263" s="5" t="s">
        <v>624</v>
      </c>
      <c r="F263" s="5" t="s">
        <v>736</v>
      </c>
      <c r="G263" s="5"/>
      <c r="H263" s="5" t="s">
        <v>882</v>
      </c>
      <c r="I263" s="5" t="s">
        <v>82</v>
      </c>
      <c r="J263" s="5" t="s">
        <v>1093</v>
      </c>
      <c r="K263" s="5" t="s">
        <v>1094</v>
      </c>
      <c r="L263" s="5" t="s">
        <v>1095</v>
      </c>
      <c r="M263" s="5" t="s">
        <v>23</v>
      </c>
      <c r="N263" s="9">
        <v>44498</v>
      </c>
      <c r="O263" s="9">
        <v>44568</v>
      </c>
      <c r="P263" s="10" t="s">
        <v>24</v>
      </c>
      <c r="Q263" s="5" t="s">
        <v>1139</v>
      </c>
      <c r="R263" s="5" t="s">
        <v>1210</v>
      </c>
      <c r="S263" s="5" t="s">
        <v>499</v>
      </c>
      <c r="T263" s="16" t="str">
        <f>IF(F263="",E263,F263)</f>
        <v>SX186B</v>
      </c>
      <c r="U263" s="16" t="str">
        <f>H263&amp;I263</f>
        <v>磐耀智多星私募证券投资基金B类</v>
      </c>
      <c r="V263" s="17">
        <f>IF(O263="",N263,O263)</f>
        <v>44568</v>
      </c>
    </row>
    <row r="264" spans="1:22" ht="15" customHeight="1" x14ac:dyDescent="0.15">
      <c r="A264" s="5" t="s">
        <v>15</v>
      </c>
      <c r="B264" s="5"/>
      <c r="C264" s="5" t="s">
        <v>504</v>
      </c>
      <c r="D264" s="5" t="s">
        <v>506</v>
      </c>
      <c r="E264" s="5" t="s">
        <v>1289</v>
      </c>
      <c r="F264" s="5"/>
      <c r="G264" s="5"/>
      <c r="H264" s="5" t="s">
        <v>1290</v>
      </c>
      <c r="I264" s="5"/>
      <c r="J264" s="5" t="s">
        <v>1291</v>
      </c>
      <c r="K264" s="5" t="s">
        <v>1292</v>
      </c>
      <c r="L264" s="5"/>
      <c r="M264" s="5" t="s">
        <v>324</v>
      </c>
      <c r="N264" s="9">
        <v>45853</v>
      </c>
      <c r="O264" s="9">
        <v>46066</v>
      </c>
      <c r="P264" s="10"/>
      <c r="Q264" s="5"/>
      <c r="R264" s="5" t="s">
        <v>1328</v>
      </c>
      <c r="S264" s="5"/>
      <c r="T264" s="16" t="str">
        <f>IF(F264="",E264,F264)</f>
        <v>SJT293</v>
      </c>
      <c r="U264" s="16" t="str">
        <f>H264&amp;I264</f>
        <v>乐天9号伊洛私募证券投资基金</v>
      </c>
      <c r="V264" s="17">
        <f>IF(O264="",N264,O264)</f>
        <v>46066</v>
      </c>
    </row>
    <row r="265" spans="1:22" ht="15" customHeight="1" x14ac:dyDescent="0.15">
      <c r="A265" s="5" t="s">
        <v>8</v>
      </c>
      <c r="B265" s="5" t="s">
        <v>1247</v>
      </c>
      <c r="C265" s="5"/>
      <c r="D265" s="5" t="s">
        <v>10</v>
      </c>
      <c r="E265" s="5" t="s">
        <v>1252</v>
      </c>
      <c r="F265" s="5" t="s">
        <v>1253</v>
      </c>
      <c r="G265" s="5"/>
      <c r="H265" s="5" t="s">
        <v>1254</v>
      </c>
      <c r="I265" s="5" t="s">
        <v>82</v>
      </c>
      <c r="J265" s="5" t="s">
        <v>1255</v>
      </c>
      <c r="K265" s="5" t="s">
        <v>1256</v>
      </c>
      <c r="L265" s="5"/>
      <c r="M265" s="5" t="s">
        <v>23</v>
      </c>
      <c r="N265" s="9">
        <v>45174</v>
      </c>
      <c r="O265" s="9">
        <v>45260</v>
      </c>
      <c r="P265" s="10"/>
      <c r="Q265" s="5"/>
      <c r="R265" s="5"/>
      <c r="S265" s="5"/>
      <c r="T265" s="16" t="str">
        <f>IF(F265="",E265,F265)</f>
        <v>AAV43B</v>
      </c>
      <c r="U265" s="16" t="str">
        <f>H265&amp;I265</f>
        <v>宁水国债宝2号一期私募证券投资基金B类</v>
      </c>
      <c r="V265" s="17">
        <f>IF(O265="",N265,O265)</f>
        <v>45260</v>
      </c>
    </row>
    <row r="266" spans="1:22" ht="15" customHeight="1" x14ac:dyDescent="0.15">
      <c r="A266" s="5" t="s">
        <v>8</v>
      </c>
      <c r="B266" s="5"/>
      <c r="C266" s="5" t="s">
        <v>9</v>
      </c>
      <c r="D266" s="5" t="s">
        <v>10</v>
      </c>
      <c r="E266" s="5" t="s">
        <v>11</v>
      </c>
      <c r="F266" s="5" t="s">
        <v>750</v>
      </c>
      <c r="G266" s="5"/>
      <c r="H266" s="5" t="s">
        <v>900</v>
      </c>
      <c r="I266" s="5" t="s">
        <v>82</v>
      </c>
      <c r="J266" s="5" t="s">
        <v>12</v>
      </c>
      <c r="K266" s="5" t="s">
        <v>13</v>
      </c>
      <c r="L266" s="5"/>
      <c r="M266" s="5" t="s">
        <v>398</v>
      </c>
      <c r="N266" s="9">
        <v>43229</v>
      </c>
      <c r="O266" s="9">
        <v>43280</v>
      </c>
      <c r="P266" s="10" t="s">
        <v>14</v>
      </c>
      <c r="Q266" s="5" t="s">
        <v>1135</v>
      </c>
      <c r="R266" s="5" t="s">
        <v>1166</v>
      </c>
      <c r="S266" s="5"/>
      <c r="T266" s="16" t="str">
        <f>IF(F266="",E266,F266)</f>
        <v>CU345B</v>
      </c>
      <c r="U266" s="16" t="str">
        <f>H266&amp;I266</f>
        <v>旌安1号私募投资基金B类</v>
      </c>
      <c r="V266" s="17">
        <f>IF(O266="",N266,O266)</f>
        <v>43280</v>
      </c>
    </row>
    <row r="267" spans="1:22" ht="15" customHeight="1" x14ac:dyDescent="0.15">
      <c r="A267" s="5"/>
      <c r="B267" s="5" t="s">
        <v>484</v>
      </c>
      <c r="C267" s="5" t="s">
        <v>27</v>
      </c>
      <c r="D267" s="5"/>
      <c r="E267" s="5" t="s">
        <v>643</v>
      </c>
      <c r="F267" s="5"/>
      <c r="G267" s="5"/>
      <c r="H267" s="5" t="s">
        <v>901</v>
      </c>
      <c r="I267" s="5"/>
      <c r="J267" s="5" t="s">
        <v>1123</v>
      </c>
      <c r="K267" s="5" t="s">
        <v>1124</v>
      </c>
      <c r="L267" s="5" t="s">
        <v>1125</v>
      </c>
      <c r="M267" s="5" t="s">
        <v>23</v>
      </c>
      <c r="N267" s="9">
        <v>44853</v>
      </c>
      <c r="O267" s="9" t="s">
        <v>399</v>
      </c>
      <c r="P267" s="10"/>
      <c r="Q267" s="5" t="s">
        <v>1135</v>
      </c>
      <c r="R267" s="5" t="s">
        <v>399</v>
      </c>
      <c r="S267" s="5"/>
      <c r="T267" s="16" t="str">
        <f>IF(F267="",E267,F267)</f>
        <v>SXF554</v>
      </c>
      <c r="U267" s="16" t="str">
        <f>H267&amp;I267</f>
        <v>天戈紫竹七号私募证券投资基金</v>
      </c>
      <c r="V267" s="17">
        <f>IF(O267="",N267,O267)</f>
        <v>44853</v>
      </c>
    </row>
    <row r="268" spans="1:22" ht="15" customHeight="1" x14ac:dyDescent="0.15">
      <c r="A268" s="5"/>
      <c r="B268" s="5"/>
      <c r="C268" s="5"/>
      <c r="D268" s="5"/>
      <c r="E268" s="5" t="s">
        <v>648</v>
      </c>
      <c r="F268" s="5" t="s">
        <v>751</v>
      </c>
      <c r="G268" s="5"/>
      <c r="H268" s="5" t="s">
        <v>906</v>
      </c>
      <c r="I268" s="5" t="s">
        <v>82</v>
      </c>
      <c r="J268" s="5" t="s">
        <v>1130</v>
      </c>
      <c r="K268" s="5" t="s">
        <v>1131</v>
      </c>
      <c r="L268" s="5"/>
      <c r="M268" s="5" t="s">
        <v>400</v>
      </c>
      <c r="N268" s="9">
        <v>45464</v>
      </c>
      <c r="O268" s="9">
        <v>45506</v>
      </c>
      <c r="P268" s="10"/>
      <c r="Q268" s="5" t="s">
        <v>1139</v>
      </c>
      <c r="R268" s="5" t="s">
        <v>1155</v>
      </c>
      <c r="S268" s="5"/>
      <c r="T268" s="16" t="str">
        <f>IF(F268="",E268,F268)</f>
        <v>AKR52B</v>
      </c>
      <c r="U268" s="16" t="str">
        <f>H268&amp;I268</f>
        <v>罗维盈安启航LS一号私募证券投资基金B类</v>
      </c>
      <c r="V268" s="17">
        <f>IF(O268="",N268,O268)</f>
        <v>45506</v>
      </c>
    </row>
    <row r="269" spans="1:22" ht="15" customHeight="1" x14ac:dyDescent="0.15">
      <c r="A269" s="5"/>
      <c r="B269" s="5"/>
      <c r="C269" s="5"/>
      <c r="D269" s="5"/>
      <c r="E269" s="5" t="s">
        <v>650</v>
      </c>
      <c r="F269" s="5" t="s">
        <v>753</v>
      </c>
      <c r="G269" s="5"/>
      <c r="H269" s="5" t="s">
        <v>908</v>
      </c>
      <c r="I269" s="5" t="s">
        <v>82</v>
      </c>
      <c r="J269" s="5" t="s">
        <v>1130</v>
      </c>
      <c r="K269" s="5" t="s">
        <v>1131</v>
      </c>
      <c r="L269" s="5"/>
      <c r="M269" s="5" t="s">
        <v>400</v>
      </c>
      <c r="N269" s="9">
        <v>45726</v>
      </c>
      <c r="O269" s="9">
        <v>45758</v>
      </c>
      <c r="P269" s="10"/>
      <c r="Q269" s="5" t="s">
        <v>1135</v>
      </c>
      <c r="R269" s="5" t="s">
        <v>442</v>
      </c>
      <c r="S269" s="5"/>
      <c r="T269" s="16" t="str">
        <f>IF(F269="",E269,F269)</f>
        <v>APF49B</v>
      </c>
      <c r="U269" s="16" t="str">
        <f>H269&amp;I269</f>
        <v>罗维盈安启航量化优选1号私募证券投资基金B类</v>
      </c>
      <c r="V269" s="17">
        <f>IF(O269="",N269,O269)</f>
        <v>45758</v>
      </c>
    </row>
    <row r="270" spans="1:22" ht="15" customHeight="1" x14ac:dyDescent="0.15">
      <c r="A270" s="5"/>
      <c r="B270" s="5"/>
      <c r="C270" s="5"/>
      <c r="D270" s="5"/>
      <c r="E270" s="5" t="s">
        <v>649</v>
      </c>
      <c r="F270" s="5" t="s">
        <v>752</v>
      </c>
      <c r="G270" s="5"/>
      <c r="H270" s="5" t="s">
        <v>907</v>
      </c>
      <c r="I270" s="5" t="s">
        <v>82</v>
      </c>
      <c r="J270" s="5" t="s">
        <v>1130</v>
      </c>
      <c r="K270" s="5" t="s">
        <v>1131</v>
      </c>
      <c r="L270" s="5"/>
      <c r="M270" s="5" t="s">
        <v>398</v>
      </c>
      <c r="N270" s="9">
        <v>45786</v>
      </c>
      <c r="O270" s="9">
        <v>45821</v>
      </c>
      <c r="P270" s="10"/>
      <c r="Q270" s="5" t="s">
        <v>1139</v>
      </c>
      <c r="R270" s="5" t="s">
        <v>1159</v>
      </c>
      <c r="S270" s="5"/>
      <c r="T270" s="16" t="str">
        <f>IF(F270="",E270,F270)</f>
        <v>AXK98B</v>
      </c>
      <c r="U270" s="16" t="str">
        <f>H270&amp;I270</f>
        <v>罗维盈安启航共赢1号私募证券投资基金B类</v>
      </c>
      <c r="V270" s="17">
        <f>IF(O270="",N270,O270)</f>
        <v>45821</v>
      </c>
    </row>
    <row r="271" spans="1:22" ht="15" customHeight="1" x14ac:dyDescent="0.15">
      <c r="A271" s="5"/>
      <c r="B271" s="5"/>
      <c r="C271" s="5"/>
      <c r="D271" s="5"/>
      <c r="E271" s="5" t="s">
        <v>646</v>
      </c>
      <c r="F271" s="5"/>
      <c r="G271" s="5"/>
      <c r="H271" s="5" t="s">
        <v>904</v>
      </c>
      <c r="I271" s="5"/>
      <c r="J271" s="5" t="s">
        <v>1128</v>
      </c>
      <c r="K271" s="5" t="s">
        <v>1129</v>
      </c>
      <c r="L271" s="5"/>
      <c r="M271" s="5" t="s">
        <v>400</v>
      </c>
      <c r="N271" s="9">
        <v>45219</v>
      </c>
      <c r="O271" s="9" t="s">
        <v>399</v>
      </c>
      <c r="P271" s="10"/>
      <c r="Q271" s="5" t="s">
        <v>1135</v>
      </c>
      <c r="R271" s="5" t="s">
        <v>1177</v>
      </c>
      <c r="S271" s="5"/>
      <c r="T271" s="16" t="str">
        <f>IF(F271="",E271,F271)</f>
        <v>SAAH76</v>
      </c>
      <c r="U271" s="16" t="str">
        <f>H271&amp;I271</f>
        <v>联海守望者9号私募证券投资基金</v>
      </c>
      <c r="V271" s="17">
        <f>IF(O271="",N271,O271)</f>
        <v>45219</v>
      </c>
    </row>
    <row r="272" spans="1:22" ht="15" customHeight="1" x14ac:dyDescent="0.15">
      <c r="A272" s="5"/>
      <c r="B272" s="5"/>
      <c r="C272" s="5"/>
      <c r="D272" s="5"/>
      <c r="E272" s="5" t="s">
        <v>644</v>
      </c>
      <c r="F272" s="5"/>
      <c r="G272" s="5"/>
      <c r="H272" s="5" t="s">
        <v>902</v>
      </c>
      <c r="I272" s="5"/>
      <c r="J272" s="5" t="s">
        <v>1126</v>
      </c>
      <c r="K272" s="5" t="s">
        <v>1127</v>
      </c>
      <c r="L272" s="5"/>
      <c r="M272" s="5" t="s">
        <v>87</v>
      </c>
      <c r="N272" s="9">
        <v>45797</v>
      </c>
      <c r="O272" s="9">
        <v>45800</v>
      </c>
      <c r="P272" s="10"/>
      <c r="Q272" s="5" t="s">
        <v>1139</v>
      </c>
      <c r="R272" s="5" t="s">
        <v>1182</v>
      </c>
      <c r="S272" s="5"/>
      <c r="T272" s="16" t="str">
        <f>IF(F272="",E272,F272)</f>
        <v>SAYV89</v>
      </c>
      <c r="U272" s="16" t="str">
        <f>H272&amp;I272</f>
        <v>和顿锦绣未来私募证券投资基金</v>
      </c>
      <c r="V272" s="17">
        <f>IF(O272="",N272,O272)</f>
        <v>45800</v>
      </c>
    </row>
    <row r="273" spans="1:22" ht="15" customHeight="1" x14ac:dyDescent="0.15">
      <c r="A273" s="5"/>
      <c r="B273" s="5"/>
      <c r="C273" s="5"/>
      <c r="D273" s="5"/>
      <c r="E273" s="5" t="s">
        <v>645</v>
      </c>
      <c r="F273" s="5"/>
      <c r="G273" s="5"/>
      <c r="H273" s="5" t="s">
        <v>903</v>
      </c>
      <c r="I273" s="5"/>
      <c r="J273" s="5" t="s">
        <v>1128</v>
      </c>
      <c r="K273" s="5" t="s">
        <v>1129</v>
      </c>
      <c r="L273" s="5"/>
      <c r="M273" s="5" t="s">
        <v>106</v>
      </c>
      <c r="N273" s="9">
        <v>44218</v>
      </c>
      <c r="O273" s="9">
        <v>45114</v>
      </c>
      <c r="P273" s="10"/>
      <c r="Q273" s="5" t="s">
        <v>1139</v>
      </c>
      <c r="R273" s="5" t="s">
        <v>1195</v>
      </c>
      <c r="S273" s="5"/>
      <c r="T273" s="16" t="str">
        <f>IF(F273="",E273,F273)</f>
        <v>SNT412</v>
      </c>
      <c r="U273" s="16" t="str">
        <f>H273&amp;I273</f>
        <v>联海守望者8号私募证券投资基金</v>
      </c>
      <c r="V273" s="17">
        <f>IF(O273="",N273,O273)</f>
        <v>45114</v>
      </c>
    </row>
    <row r="274" spans="1:22" ht="15" customHeight="1" x14ac:dyDescent="0.15">
      <c r="A274" s="5"/>
      <c r="B274" s="5"/>
      <c r="C274" s="5"/>
      <c r="D274" s="5"/>
      <c r="E274" s="5" t="s">
        <v>653</v>
      </c>
      <c r="F274" s="5"/>
      <c r="G274" s="5"/>
      <c r="H274" s="5" t="s">
        <v>911</v>
      </c>
      <c r="I274" s="5"/>
      <c r="J274" s="5" t="s">
        <v>1132</v>
      </c>
      <c r="K274" s="5" t="s">
        <v>1133</v>
      </c>
      <c r="L274" s="5"/>
      <c r="M274" s="5" t="s">
        <v>87</v>
      </c>
      <c r="N274" s="9">
        <v>44397</v>
      </c>
      <c r="O274" s="9">
        <v>45793</v>
      </c>
      <c r="P274" s="10"/>
      <c r="Q274" s="5" t="s">
        <v>1139</v>
      </c>
      <c r="R274" s="5" t="s">
        <v>1325</v>
      </c>
      <c r="S274" s="5"/>
      <c r="T274" s="16" t="str">
        <f>IF(F274="",E274,F274)</f>
        <v>SSA100</v>
      </c>
      <c r="U274" s="16" t="str">
        <f>H274&amp;I274</f>
        <v>元盛中国多元化七号私募证券投资基金</v>
      </c>
      <c r="V274" s="17">
        <f>IF(O274="",N274,O274)</f>
        <v>45793</v>
      </c>
    </row>
    <row r="275" spans="1:22" ht="15" customHeight="1" x14ac:dyDescent="0.15">
      <c r="A275" s="5"/>
      <c r="B275" s="5"/>
      <c r="C275" s="5"/>
      <c r="D275" s="5"/>
      <c r="E275" s="5" t="s">
        <v>647</v>
      </c>
      <c r="F275" s="5"/>
      <c r="G275" s="5"/>
      <c r="H275" s="5" t="s">
        <v>905</v>
      </c>
      <c r="I275" s="5"/>
      <c r="J275" s="5" t="s">
        <v>1130</v>
      </c>
      <c r="K275" s="5" t="s">
        <v>1131</v>
      </c>
      <c r="L275" s="5"/>
      <c r="M275" s="5" t="s">
        <v>87</v>
      </c>
      <c r="N275" s="9">
        <v>44834</v>
      </c>
      <c r="O275" s="9">
        <v>45777</v>
      </c>
      <c r="P275" s="10"/>
      <c r="Q275" s="5" t="s">
        <v>1135</v>
      </c>
      <c r="R275" s="5" t="s">
        <v>1326</v>
      </c>
      <c r="S275" s="5"/>
      <c r="T275" s="16" t="str">
        <f>IF(F275="",E275,F275)</f>
        <v>STY144</v>
      </c>
      <c r="U275" s="16" t="str">
        <f>H275&amp;I275</f>
        <v>罗维盈安伏波2号私募证券投资基金</v>
      </c>
      <c r="V275" s="17">
        <f>IF(O275="",N275,O275)</f>
        <v>45777</v>
      </c>
    </row>
    <row r="276" spans="1:22" ht="15" customHeight="1" x14ac:dyDescent="0.15">
      <c r="A276" s="5"/>
      <c r="B276" s="5"/>
      <c r="C276" s="5"/>
      <c r="D276" s="5"/>
      <c r="E276" s="5" t="s">
        <v>652</v>
      </c>
      <c r="F276" s="5" t="s">
        <v>755</v>
      </c>
      <c r="G276" s="5"/>
      <c r="H276" s="5" t="s">
        <v>910</v>
      </c>
      <c r="I276" s="5" t="s">
        <v>82</v>
      </c>
      <c r="J276" s="5" t="s">
        <v>954</v>
      </c>
      <c r="K276" s="5" t="s">
        <v>955</v>
      </c>
      <c r="L276" s="5"/>
      <c r="M276" s="5" t="s">
        <v>42</v>
      </c>
      <c r="N276" s="9">
        <v>44917</v>
      </c>
      <c r="O276" s="9">
        <v>45079</v>
      </c>
      <c r="P276" s="10"/>
      <c r="Q276" s="5" t="s">
        <v>1139</v>
      </c>
      <c r="R276" s="5" t="s">
        <v>1327</v>
      </c>
      <c r="S276" s="5"/>
      <c r="T276" s="16" t="str">
        <f>IF(F276="",E276,F276)</f>
        <v>XZ886B</v>
      </c>
      <c r="U276" s="16" t="str">
        <f>H276&amp;I276</f>
        <v>千衍金选六和9号指数增强私募证券投资基金B类</v>
      </c>
      <c r="V276" s="17">
        <f>IF(O276="",N276,O276)</f>
        <v>45079</v>
      </c>
    </row>
    <row r="277" spans="1:22" ht="15" customHeight="1" x14ac:dyDescent="0.15">
      <c r="A277" s="5"/>
      <c r="B277" s="5"/>
      <c r="C277" s="5"/>
      <c r="D277" s="5"/>
      <c r="E277" s="5" t="s">
        <v>651</v>
      </c>
      <c r="F277" s="5" t="s">
        <v>754</v>
      </c>
      <c r="G277" s="5"/>
      <c r="H277" s="5" t="s">
        <v>909</v>
      </c>
      <c r="I277" s="5" t="s">
        <v>82</v>
      </c>
      <c r="J277" s="5" t="s">
        <v>1130</v>
      </c>
      <c r="K277" s="5" t="s">
        <v>1131</v>
      </c>
      <c r="L277" s="5"/>
      <c r="M277" s="5" t="s">
        <v>400</v>
      </c>
      <c r="N277" s="9">
        <v>44946</v>
      </c>
      <c r="O277" s="9">
        <v>44985</v>
      </c>
      <c r="P277" s="10"/>
      <c r="Q277" s="5" t="s">
        <v>1135</v>
      </c>
      <c r="R277" s="5"/>
      <c r="S277" s="5"/>
      <c r="T277" s="16" t="str">
        <f>IF(F277="",E277,F277)</f>
        <v>ZA132B</v>
      </c>
      <c r="U277" s="16" t="str">
        <f>H277&amp;I277</f>
        <v>罗维盈安之升1000增强2号私募证券投资基金B类</v>
      </c>
      <c r="V277" s="17">
        <f>IF(O277="",N277,O277)</f>
        <v>44985</v>
      </c>
    </row>
  </sheetData>
  <phoneticPr fontId="2" type="noConversion"/>
  <conditionalFormatting sqref="E1:E1048576">
    <cfRule type="duplicateValues" dxfId="1" priority="3"/>
  </conditionalFormatting>
  <conditionalFormatting sqref="T1:T1048576">
    <cfRule type="duplicateValues" dxfId="0" priority="1"/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675FF-EA19-40EE-A987-A00F6D58A111}">
  <sheetPr codeName="Sheet2"/>
  <dimension ref="A1:D11"/>
  <sheetViews>
    <sheetView topLeftCell="C1" zoomScaleNormal="100" workbookViewId="0">
      <selection activeCell="D19" sqref="D19"/>
    </sheetView>
  </sheetViews>
  <sheetFormatPr defaultRowHeight="13.5" x14ac:dyDescent="0.15"/>
  <cols>
    <col min="2" max="2" width="33.875" bestFit="1" customWidth="1"/>
    <col min="3" max="3" width="38" bestFit="1" customWidth="1"/>
    <col min="4" max="4" width="55.5" bestFit="1" customWidth="1"/>
  </cols>
  <sheetData>
    <row r="1" spans="1:4" x14ac:dyDescent="0.15">
      <c r="A1" s="1" t="s">
        <v>375</v>
      </c>
      <c r="B1" s="1" t="s">
        <v>376</v>
      </c>
      <c r="C1" s="1" t="s">
        <v>377</v>
      </c>
      <c r="D1" s="1" t="s">
        <v>378</v>
      </c>
    </row>
    <row r="2" spans="1:4" x14ac:dyDescent="0.15">
      <c r="A2" s="2">
        <v>1</v>
      </c>
      <c r="B2" s="4" t="s">
        <v>381</v>
      </c>
      <c r="C2" s="4" t="s">
        <v>395</v>
      </c>
      <c r="D2" s="4" t="s">
        <v>396</v>
      </c>
    </row>
    <row r="3" spans="1:4" x14ac:dyDescent="0.15">
      <c r="A3" s="2">
        <v>2</v>
      </c>
      <c r="B3" s="4" t="s">
        <v>379</v>
      </c>
      <c r="C3" s="4" t="s">
        <v>380</v>
      </c>
      <c r="D3" s="4" t="s">
        <v>393</v>
      </c>
    </row>
    <row r="4" spans="1:4" x14ac:dyDescent="0.15">
      <c r="A4" s="2">
        <v>3</v>
      </c>
      <c r="B4" s="4" t="s">
        <v>364</v>
      </c>
      <c r="C4" s="4" t="s">
        <v>392</v>
      </c>
      <c r="D4" s="4" t="s">
        <v>393</v>
      </c>
    </row>
    <row r="5" spans="1:4" x14ac:dyDescent="0.15">
      <c r="A5" s="2">
        <v>4</v>
      </c>
      <c r="B5" s="1" t="s">
        <v>382</v>
      </c>
      <c r="C5" s="1" t="s">
        <v>394</v>
      </c>
      <c r="D5" s="1" t="s">
        <v>384</v>
      </c>
    </row>
    <row r="6" spans="1:4" x14ac:dyDescent="0.15">
      <c r="A6" s="2">
        <v>5</v>
      </c>
      <c r="B6" s="1" t="s">
        <v>383</v>
      </c>
      <c r="C6" s="1" t="s">
        <v>394</v>
      </c>
      <c r="D6" s="1" t="s">
        <v>384</v>
      </c>
    </row>
    <row r="7" spans="1:4" x14ac:dyDescent="0.15">
      <c r="A7" s="2">
        <v>6</v>
      </c>
      <c r="B7" s="1" t="s">
        <v>385</v>
      </c>
      <c r="C7" s="1" t="s">
        <v>394</v>
      </c>
      <c r="D7" s="1" t="s">
        <v>384</v>
      </c>
    </row>
    <row r="8" spans="1:4" x14ac:dyDescent="0.15">
      <c r="A8" s="2">
        <v>7</v>
      </c>
      <c r="B8" s="1" t="s">
        <v>389</v>
      </c>
      <c r="C8" s="1" t="s">
        <v>394</v>
      </c>
      <c r="D8" s="1" t="s">
        <v>384</v>
      </c>
    </row>
    <row r="9" spans="1:4" x14ac:dyDescent="0.15">
      <c r="A9" s="2">
        <v>8</v>
      </c>
      <c r="B9" s="1" t="s">
        <v>390</v>
      </c>
      <c r="C9" s="1" t="s">
        <v>394</v>
      </c>
      <c r="D9" s="1" t="s">
        <v>391</v>
      </c>
    </row>
    <row r="10" spans="1:4" ht="16.5" x14ac:dyDescent="0.15">
      <c r="A10" s="2">
        <v>9</v>
      </c>
      <c r="B10" s="3" t="s">
        <v>386</v>
      </c>
      <c r="C10" s="1" t="s">
        <v>394</v>
      </c>
      <c r="D10" s="1" t="s">
        <v>387</v>
      </c>
    </row>
    <row r="11" spans="1:4" x14ac:dyDescent="0.15">
      <c r="A11" s="2">
        <v>10</v>
      </c>
      <c r="B11" s="2" t="s">
        <v>388</v>
      </c>
      <c r="C11" s="1" t="s">
        <v>394</v>
      </c>
      <c r="D11" s="1" t="s">
        <v>387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jessie</dc:creator>
  <cp:lastModifiedBy>zhang wenhui</cp:lastModifiedBy>
  <dcterms:created xsi:type="dcterms:W3CDTF">2025-04-01T04:24:00Z</dcterms:created>
  <dcterms:modified xsi:type="dcterms:W3CDTF">2026-04-07T09:20:11Z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D7C5D24E0AA94909871524E3FC94A17E_11</vt:lpwstr>
  </property>
  <property fmtid="{D5CDD505-2E9C-101B-9397-08002B2CF9AE}" pid="3" name="KSOProductBuildVer">
    <vt:lpwstr>2052-12.1.0.20784</vt:lpwstr>
  </property>
  <property fmtid="{D5CDD505-2E9C-101B-9397-08002B2CF9AE}" pid="4" name="EM_Doc_Temp_ID">
    <vt:lpwstr>67A07472-F182-4A78-9744-53D07397F289</vt:lpwstr>
  </property>
</Properties>
</file>